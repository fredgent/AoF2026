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term1/Dropbox/Sync/Applications/RCF_EuroHPC25/"/>
    </mc:Choice>
  </mc:AlternateContent>
  <xr:revisionPtr revIDLastSave="0" documentId="13_ncr:1_{E8A10F19-E565-F64C-A7F7-C7BA50512393}" xr6:coauthVersionLast="47" xr6:coauthVersionMax="47" xr10:uidLastSave="{00000000-0000-0000-0000-000000000000}"/>
  <bookViews>
    <workbookView xWindow="28800" yWindow="500" windowWidth="29040" windowHeight="15840" activeTab="1" xr2:uid="{00000000-000D-0000-FFFF-FFFF00000000}"/>
  </bookViews>
  <sheets>
    <sheet name="Budget TOTAL" sheetId="1" r:id="rId1"/>
    <sheet name="AALTO Korpi-Lagg" sheetId="8" r:id="rId2"/>
    <sheet name="Budget (Partner 2)" sheetId="4" r:id="rId3"/>
    <sheet name="Budget (Partner 3)" sheetId="5" r:id="rId4"/>
    <sheet name="Budget (Partner 4)" sheetId="6" r:id="rId5"/>
    <sheet name="Budget (Partner 5)" sheetId="7" r:id="rId6"/>
    <sheet name="Mobility" sheetId="3" r:id="rId7"/>
    <sheet name="Sheet2" sheetId="2" r:id="rId8"/>
  </sheets>
  <definedNames>
    <definedName name="HSK" localSheetId="1">'AALTO Korpi-Lagg'!$C$10</definedName>
    <definedName name="Personnel">Sheet2!$B$2:$B$6</definedName>
    <definedName name="YK" localSheetId="1">'AALTO Korpi-Lagg'!$C$11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" i="4" l="1"/>
  <c r="G20" i="4" s="1"/>
  <c r="I20" i="4" s="1"/>
  <c r="E17" i="4"/>
  <c r="G17" i="4" s="1"/>
  <c r="G20" i="8"/>
  <c r="G26" i="7"/>
  <c r="E26" i="7"/>
  <c r="I26" i="7" s="1"/>
  <c r="G23" i="7"/>
  <c r="E23" i="7"/>
  <c r="G20" i="7"/>
  <c r="E20" i="7"/>
  <c r="I20" i="7" s="1"/>
  <c r="G17" i="7"/>
  <c r="E17" i="7"/>
  <c r="E29" i="7" s="1"/>
  <c r="G26" i="6"/>
  <c r="E26" i="6"/>
  <c r="G23" i="6"/>
  <c r="I23" i="6" s="1"/>
  <c r="E23" i="6"/>
  <c r="G20" i="6"/>
  <c r="E20" i="6"/>
  <c r="E29" i="6" s="1"/>
  <c r="G17" i="6"/>
  <c r="E17" i="6"/>
  <c r="G26" i="5"/>
  <c r="E26" i="5"/>
  <c r="G23" i="5"/>
  <c r="E23" i="5"/>
  <c r="G20" i="5"/>
  <c r="E20" i="5"/>
  <c r="I20" i="5" s="1"/>
  <c r="G17" i="5"/>
  <c r="E17" i="5"/>
  <c r="E46" i="7"/>
  <c r="G46" i="7" s="1"/>
  <c r="G40" i="7"/>
  <c r="E40" i="7"/>
  <c r="I40" i="7" s="1"/>
  <c r="C40" i="7"/>
  <c r="I39" i="7"/>
  <c r="I38" i="7"/>
  <c r="I37" i="7"/>
  <c r="I36" i="7"/>
  <c r="I35" i="7"/>
  <c r="E34" i="7"/>
  <c r="G34" i="7" s="1"/>
  <c r="C29" i="7"/>
  <c r="I23" i="7"/>
  <c r="E15" i="7"/>
  <c r="G15" i="7" s="1"/>
  <c r="E46" i="6"/>
  <c r="G46" i="6" s="1"/>
  <c r="G40" i="6"/>
  <c r="E40" i="6"/>
  <c r="I40" i="6" s="1"/>
  <c r="C40" i="6"/>
  <c r="I39" i="6"/>
  <c r="I38" i="6"/>
  <c r="I37" i="6"/>
  <c r="I36" i="6"/>
  <c r="I35" i="6"/>
  <c r="E34" i="6"/>
  <c r="G34" i="6" s="1"/>
  <c r="C29" i="6"/>
  <c r="I26" i="6"/>
  <c r="G29" i="6"/>
  <c r="I17" i="6"/>
  <c r="E15" i="6"/>
  <c r="G15" i="6" s="1"/>
  <c r="E46" i="5"/>
  <c r="G46" i="5" s="1"/>
  <c r="G40" i="5"/>
  <c r="E40" i="5"/>
  <c r="I40" i="5" s="1"/>
  <c r="C40" i="5"/>
  <c r="I39" i="5"/>
  <c r="I38" i="5"/>
  <c r="I37" i="5"/>
  <c r="I36" i="5"/>
  <c r="I35" i="5"/>
  <c r="E34" i="5"/>
  <c r="G34" i="5" s="1"/>
  <c r="C29" i="5"/>
  <c r="C30" i="5" s="1"/>
  <c r="I26" i="5"/>
  <c r="I23" i="5"/>
  <c r="E15" i="5"/>
  <c r="G15" i="5" s="1"/>
  <c r="E46" i="4"/>
  <c r="G46" i="4" s="1"/>
  <c r="G40" i="4"/>
  <c r="E40" i="4"/>
  <c r="C40" i="4"/>
  <c r="I39" i="4"/>
  <c r="I38" i="4"/>
  <c r="I37" i="4"/>
  <c r="I36" i="4"/>
  <c r="I35" i="4"/>
  <c r="E34" i="4"/>
  <c r="G34" i="4" s="1"/>
  <c r="C29" i="4"/>
  <c r="G26" i="4"/>
  <c r="E26" i="4"/>
  <c r="G23" i="4"/>
  <c r="E23" i="4"/>
  <c r="I23" i="4" s="1"/>
  <c r="E15" i="4"/>
  <c r="G15" i="4" s="1"/>
  <c r="J81" i="3"/>
  <c r="J80" i="3"/>
  <c r="J86" i="3" s="1"/>
  <c r="D80" i="3"/>
  <c r="D76" i="3"/>
  <c r="D85" i="3" s="1"/>
  <c r="J67" i="3"/>
  <c r="J66" i="3"/>
  <c r="J72" i="3" s="1"/>
  <c r="D66" i="3"/>
  <c r="D62" i="3"/>
  <c r="D71" i="3" s="1"/>
  <c r="G39" i="1"/>
  <c r="G38" i="1"/>
  <c r="G37" i="1"/>
  <c r="G36" i="1"/>
  <c r="G35" i="1"/>
  <c r="E39" i="1"/>
  <c r="E38" i="1"/>
  <c r="E37" i="1"/>
  <c r="E36" i="1"/>
  <c r="E35" i="1"/>
  <c r="C36" i="1"/>
  <c r="C37" i="1"/>
  <c r="C38" i="1"/>
  <c r="C39" i="1"/>
  <c r="C35" i="1"/>
  <c r="G25" i="1"/>
  <c r="E25" i="1"/>
  <c r="C25" i="1"/>
  <c r="G22" i="1"/>
  <c r="E22" i="1"/>
  <c r="C22" i="1"/>
  <c r="G19" i="1"/>
  <c r="E19" i="1"/>
  <c r="C19" i="1"/>
  <c r="G16" i="1"/>
  <c r="E16" i="1"/>
  <c r="C16" i="1"/>
  <c r="E46" i="8"/>
  <c r="G46" i="8" s="1"/>
  <c r="G40" i="8"/>
  <c r="E40" i="8"/>
  <c r="C40" i="8"/>
  <c r="I39" i="8"/>
  <c r="I38" i="8"/>
  <c r="I37" i="8"/>
  <c r="I36" i="8"/>
  <c r="I35" i="8"/>
  <c r="E34" i="8"/>
  <c r="G34" i="8" s="1"/>
  <c r="C29" i="8"/>
  <c r="C30" i="8" s="1"/>
  <c r="G26" i="8"/>
  <c r="E26" i="8"/>
  <c r="E23" i="8"/>
  <c r="G23" i="8" s="1"/>
  <c r="E20" i="8"/>
  <c r="E17" i="8"/>
  <c r="E15" i="8"/>
  <c r="G15" i="8" s="1"/>
  <c r="I26" i="8" l="1"/>
  <c r="I23" i="8"/>
  <c r="I40" i="4"/>
  <c r="I20" i="8"/>
  <c r="I20" i="6"/>
  <c r="C31" i="5"/>
  <c r="C42" i="5" s="1"/>
  <c r="I26" i="4"/>
  <c r="E29" i="4"/>
  <c r="E30" i="4" s="1"/>
  <c r="E31" i="4" s="1"/>
  <c r="C30" i="7"/>
  <c r="C31" i="7" s="1"/>
  <c r="G29" i="7"/>
  <c r="E30" i="7"/>
  <c r="G30" i="6"/>
  <c r="G31" i="6" s="1"/>
  <c r="C30" i="6"/>
  <c r="I30" i="6" s="1"/>
  <c r="E30" i="6"/>
  <c r="E31" i="6" s="1"/>
  <c r="I29" i="6"/>
  <c r="I17" i="5"/>
  <c r="E29" i="5"/>
  <c r="G29" i="5"/>
  <c r="C30" i="4"/>
  <c r="G29" i="4"/>
  <c r="D72" i="3"/>
  <c r="D67" i="3"/>
  <c r="D81" i="3"/>
  <c r="D86" i="3" s="1"/>
  <c r="I40" i="8"/>
  <c r="I37" i="1"/>
  <c r="I39" i="1"/>
  <c r="I36" i="1"/>
  <c r="I35" i="1"/>
  <c r="C29" i="1"/>
  <c r="I38" i="1"/>
  <c r="G17" i="8"/>
  <c r="G29" i="8" s="1"/>
  <c r="C31" i="8"/>
  <c r="E29" i="8"/>
  <c r="G26" i="1"/>
  <c r="E26" i="1"/>
  <c r="E23" i="1"/>
  <c r="G23" i="1" s="1"/>
  <c r="E20" i="1"/>
  <c r="G20" i="1" s="1"/>
  <c r="E17" i="1"/>
  <c r="G17" i="1" s="1"/>
  <c r="I17" i="1" s="1"/>
  <c r="E46" i="1"/>
  <c r="G46" i="1" s="1"/>
  <c r="E34" i="1"/>
  <c r="G34" i="1" s="1"/>
  <c r="G40" i="1"/>
  <c r="C31" i="4" l="1"/>
  <c r="C42" i="4" s="1"/>
  <c r="C30" i="1"/>
  <c r="E42" i="6"/>
  <c r="E47" i="6" s="1"/>
  <c r="G42" i="6"/>
  <c r="G47" i="6" s="1"/>
  <c r="G54" i="6" s="1"/>
  <c r="G55" i="6" s="1"/>
  <c r="G30" i="7"/>
  <c r="G31" i="7"/>
  <c r="G42" i="7" s="1"/>
  <c r="I30" i="7"/>
  <c r="I29" i="7"/>
  <c r="E31" i="7"/>
  <c r="E42" i="7" s="1"/>
  <c r="C42" i="7"/>
  <c r="I17" i="7"/>
  <c r="C31" i="6"/>
  <c r="I31" i="6" s="1"/>
  <c r="G30" i="5"/>
  <c r="C47" i="5"/>
  <c r="C54" i="5" s="1"/>
  <c r="C55" i="5" s="1"/>
  <c r="I29" i="5"/>
  <c r="E30" i="5"/>
  <c r="I30" i="5" s="1"/>
  <c r="I29" i="4"/>
  <c r="G30" i="4"/>
  <c r="G31" i="4" s="1"/>
  <c r="E42" i="4"/>
  <c r="I17" i="4"/>
  <c r="E29" i="1"/>
  <c r="I17" i="8"/>
  <c r="G29" i="1"/>
  <c r="I23" i="1"/>
  <c r="E30" i="8"/>
  <c r="G30" i="8"/>
  <c r="I29" i="8"/>
  <c r="C42" i="8"/>
  <c r="I20" i="1"/>
  <c r="I26" i="1"/>
  <c r="G31" i="5" l="1"/>
  <c r="G42" i="5" s="1"/>
  <c r="I30" i="4"/>
  <c r="E47" i="7"/>
  <c r="I42" i="7"/>
  <c r="G47" i="7"/>
  <c r="G54" i="7" s="1"/>
  <c r="G55" i="7" s="1"/>
  <c r="I31" i="7"/>
  <c r="C47" i="7"/>
  <c r="C54" i="7" s="1"/>
  <c r="C55" i="7" s="1"/>
  <c r="E54" i="6"/>
  <c r="C42" i="6"/>
  <c r="G57" i="6"/>
  <c r="G58" i="6" s="1"/>
  <c r="C57" i="5"/>
  <c r="C58" i="5" s="1"/>
  <c r="E31" i="5"/>
  <c r="I31" i="5" s="1"/>
  <c r="C47" i="4"/>
  <c r="C54" i="4" s="1"/>
  <c r="C55" i="4" s="1"/>
  <c r="E47" i="4"/>
  <c r="G42" i="4"/>
  <c r="I42" i="4" s="1"/>
  <c r="I31" i="4"/>
  <c r="E30" i="1"/>
  <c r="C31" i="1"/>
  <c r="G31" i="8"/>
  <c r="G30" i="1"/>
  <c r="I30" i="8"/>
  <c r="E31" i="8"/>
  <c r="E42" i="8" s="1"/>
  <c r="C47" i="8"/>
  <c r="C54" i="8" s="1"/>
  <c r="C55" i="8" s="1"/>
  <c r="G47" i="5" l="1"/>
  <c r="G54" i="5" s="1"/>
  <c r="G55" i="5" s="1"/>
  <c r="C57" i="7"/>
  <c r="C58" i="7" s="1"/>
  <c r="G57" i="7"/>
  <c r="G58" i="7" s="1"/>
  <c r="I47" i="7"/>
  <c r="E54" i="7"/>
  <c r="C47" i="6"/>
  <c r="I42" i="6"/>
  <c r="E55" i="6"/>
  <c r="E57" i="6"/>
  <c r="E42" i="5"/>
  <c r="E54" i="4"/>
  <c r="G47" i="4"/>
  <c r="G54" i="4" s="1"/>
  <c r="G55" i="4" s="1"/>
  <c r="C57" i="4"/>
  <c r="C58" i="4" s="1"/>
  <c r="I31" i="8"/>
  <c r="E31" i="1"/>
  <c r="G42" i="8"/>
  <c r="G47" i="8" s="1"/>
  <c r="G54" i="8" s="1"/>
  <c r="G55" i="8" s="1"/>
  <c r="G31" i="1"/>
  <c r="G42" i="1" s="1"/>
  <c r="G47" i="1" s="1"/>
  <c r="C57" i="8"/>
  <c r="C58" i="8" s="1"/>
  <c r="E47" i="8"/>
  <c r="E15" i="1"/>
  <c r="G15" i="1" s="1"/>
  <c r="E40" i="1"/>
  <c r="G57" i="5" l="1"/>
  <c r="G58" i="5" s="1"/>
  <c r="E55" i="7"/>
  <c r="I54" i="7"/>
  <c r="I55" i="7" s="1"/>
  <c r="E57" i="7"/>
  <c r="C54" i="6"/>
  <c r="I47" i="6"/>
  <c r="E58" i="6"/>
  <c r="E47" i="5"/>
  <c r="I42" i="5"/>
  <c r="G57" i="4"/>
  <c r="G58" i="4" s="1"/>
  <c r="E55" i="4"/>
  <c r="I54" i="4"/>
  <c r="I55" i="4" s="1"/>
  <c r="E57" i="4"/>
  <c r="I47" i="4"/>
  <c r="G57" i="8"/>
  <c r="I42" i="8"/>
  <c r="G54" i="1"/>
  <c r="G55" i="1" s="1"/>
  <c r="E54" i="8"/>
  <c r="I47" i="8"/>
  <c r="G58" i="8" l="1"/>
  <c r="E58" i="7"/>
  <c r="I57" i="7"/>
  <c r="I58" i="7" s="1"/>
  <c r="C55" i="6"/>
  <c r="C57" i="6"/>
  <c r="I54" i="6"/>
  <c r="I55" i="6" s="1"/>
  <c r="I47" i="5"/>
  <c r="E54" i="5"/>
  <c r="E58" i="4"/>
  <c r="I57" i="4"/>
  <c r="I58" i="4" s="1"/>
  <c r="G57" i="1"/>
  <c r="G58" i="1" s="1"/>
  <c r="E55" i="8"/>
  <c r="I54" i="8"/>
  <c r="I55" i="8" s="1"/>
  <c r="E57" i="8"/>
  <c r="I57" i="8" s="1"/>
  <c r="I29" i="1"/>
  <c r="E42" i="1"/>
  <c r="C58" i="6" l="1"/>
  <c r="I57" i="6"/>
  <c r="I58" i="6" s="1"/>
  <c r="I54" i="5"/>
  <c r="I55" i="5" s="1"/>
  <c r="E55" i="5"/>
  <c r="E57" i="5"/>
  <c r="E58" i="8"/>
  <c r="I58" i="8"/>
  <c r="E47" i="1"/>
  <c r="E54" i="1" s="1"/>
  <c r="C40" i="1"/>
  <c r="E58" i="5" l="1"/>
  <c r="I57" i="5"/>
  <c r="I58" i="5" s="1"/>
  <c r="I40" i="1"/>
  <c r="C42" i="1"/>
  <c r="E57" i="1"/>
  <c r="E58" i="1" l="1"/>
  <c r="E55" i="1"/>
  <c r="I42" i="1"/>
  <c r="I31" i="1" l="1"/>
  <c r="I30" i="1"/>
  <c r="C47" i="1"/>
  <c r="I47" i="1" l="1"/>
  <c r="C54" i="1"/>
  <c r="I54" i="1" s="1"/>
  <c r="I55" i="1" s="1"/>
  <c r="C55" i="1" l="1"/>
  <c r="C57" i="1"/>
  <c r="I57" i="1" s="1"/>
  <c r="J57" i="1" s="1"/>
  <c r="C58" i="1" l="1"/>
  <c r="I58" i="1" l="1"/>
</calcChain>
</file>

<file path=xl/sharedStrings.xml><?xml version="1.0" encoding="utf-8"?>
<sst xmlns="http://schemas.openxmlformats.org/spreadsheetml/2006/main" count="859" uniqueCount="164">
  <si>
    <t>Funding period starts:</t>
  </si>
  <si>
    <t>Funding period ends:</t>
  </si>
  <si>
    <t>(dd.mm.yyyy)</t>
  </si>
  <si>
    <t>Effective work hours</t>
  </si>
  <si>
    <t>(%)</t>
  </si>
  <si>
    <t>Indirect employee costs</t>
  </si>
  <si>
    <t>Overheads share</t>
  </si>
  <si>
    <t>Other costs include VAT</t>
  </si>
  <si>
    <t>YES</t>
  </si>
  <si>
    <t>Salaries</t>
  </si>
  <si>
    <t>Postgraduate student</t>
  </si>
  <si>
    <t>Postdoctoral Researcher</t>
  </si>
  <si>
    <t>Researcher</t>
  </si>
  <si>
    <t>Professor</t>
  </si>
  <si>
    <t>Assisting personnel</t>
  </si>
  <si>
    <t>name (optional, not in the form)</t>
  </si>
  <si>
    <t xml:space="preserve"> = tehollinen työaika</t>
  </si>
  <si>
    <t>Salaries, total</t>
  </si>
  <si>
    <t>Indirect employee cost, total</t>
  </si>
  <si>
    <t>Total overheads share</t>
  </si>
  <si>
    <t>Choose from a list --&gt;</t>
  </si>
  <si>
    <t xml:space="preserve"> = HSK</t>
  </si>
  <si>
    <t xml:space="preserve"> = YK</t>
  </si>
  <si>
    <t>month(s)</t>
  </si>
  <si>
    <t>€/month</t>
  </si>
  <si>
    <t>The Funding form for a Academy Project  (www.aka.fi)</t>
  </si>
  <si>
    <t xml:space="preserve"> = areas to be filled in the online Academy form</t>
  </si>
  <si>
    <t>Total</t>
  </si>
  <si>
    <t>Max 11 months/year</t>
  </si>
  <si>
    <t>Other costs</t>
  </si>
  <si>
    <t>Materials</t>
  </si>
  <si>
    <t>Equipment</t>
  </si>
  <si>
    <t>Services</t>
  </si>
  <si>
    <t>Travel expenses</t>
  </si>
  <si>
    <t>Other costs, total</t>
  </si>
  <si>
    <t>Total costs</t>
  </si>
  <si>
    <t>Funding</t>
  </si>
  <si>
    <t>Own organisation</t>
  </si>
  <si>
    <t>Foundation</t>
  </si>
  <si>
    <t>Tekes</t>
  </si>
  <si>
    <t>Ministry</t>
  </si>
  <si>
    <t>EU</t>
  </si>
  <si>
    <t>Enterprise</t>
  </si>
  <si>
    <t>Other</t>
  </si>
  <si>
    <t>Other than Academy funding, total</t>
  </si>
  <si>
    <t>Funding contribution from other sources %</t>
  </si>
  <si>
    <t>Academy funding contribution €</t>
  </si>
  <si>
    <t>Academy funding contribution %</t>
  </si>
  <si>
    <t>This has to be max 70% (this sheet forces it to 70%) !!!</t>
  </si>
  <si>
    <t>Name of the person issuing commitment</t>
  </si>
  <si>
    <t>Make sure that a project starting/ending in the middle of a year has correct months</t>
  </si>
  <si>
    <r>
      <t xml:space="preserve">Fill in the monthly salary of the </t>
    </r>
    <r>
      <rPr>
        <b/>
        <i/>
        <sz val="11"/>
        <color rgb="FFFF0000"/>
        <rFont val="Calibri"/>
        <family val="2"/>
        <scheme val="minor"/>
      </rPr>
      <t>first year</t>
    </r>
    <r>
      <rPr>
        <i/>
        <sz val="11"/>
        <color rgb="FFFF0000"/>
        <rFont val="Calibri"/>
        <family val="2"/>
        <scheme val="minor"/>
      </rPr>
      <t xml:space="preserve">. The </t>
    </r>
    <r>
      <rPr>
        <b/>
        <i/>
        <sz val="11"/>
        <color rgb="FFFF0000"/>
        <rFont val="Calibri"/>
        <family val="2"/>
        <scheme val="minor"/>
      </rPr>
      <t>other years fill in automatically</t>
    </r>
    <r>
      <rPr>
        <i/>
        <sz val="11"/>
        <color rgb="FFFF0000"/>
        <rFont val="Calibri"/>
        <family val="2"/>
        <scheme val="minor"/>
      </rPr>
      <t xml:space="preserve"> with an estimated raise (TES). </t>
    </r>
  </si>
  <si>
    <t xml:space="preserve">Note that in the Academy system the separator is a period, not a comma! </t>
  </si>
  <si>
    <t>(in this excel all figures are rounded to whole numbers)</t>
  </si>
  <si>
    <t>PostDoc</t>
  </si>
  <si>
    <t xml:space="preserve">e.g. Research specific materials &amp; small-scale equipment  </t>
  </si>
  <si>
    <t xml:space="preserve">(special computer for computing, special accessories,..), </t>
  </si>
  <si>
    <t>Conferences etc.</t>
  </si>
  <si>
    <t>For reference Department Salary table (round-up):</t>
  </si>
  <si>
    <r>
      <t xml:space="preserve">At our Department these are not used 
(except in </t>
    </r>
    <r>
      <rPr>
        <b/>
        <sz val="11"/>
        <color theme="1"/>
        <rFont val="Calibri"/>
        <family val="2"/>
        <scheme val="minor"/>
      </rPr>
      <t>very</t>
    </r>
    <r>
      <rPr>
        <sz val="11"/>
        <color theme="1"/>
        <rFont val="Calibri"/>
        <family val="2"/>
        <scheme val="minor"/>
      </rPr>
      <t xml:space="preserve"> rare cases)</t>
    </r>
  </si>
  <si>
    <t>user experiment costs,..</t>
  </si>
  <si>
    <t xml:space="preserve">Justification for the cost estimate: </t>
  </si>
  <si>
    <t>Casper Lassenius (casper.lassenius@aalto.fi)</t>
  </si>
  <si>
    <t>Justify all research costs, itemised by type of expenditure, in the free-text field (max 2000 characters)</t>
  </si>
  <si>
    <t>Do not change! Has to be the CS Vice Head of Research Casper Lassenius. Choose this text from the list (do not copy from here) !!</t>
  </si>
  <si>
    <t>Materials:</t>
  </si>
  <si>
    <t>Equipment:</t>
  </si>
  <si>
    <t>Mobility:</t>
  </si>
  <si>
    <t>Only large-scale equipment (&gt; 10 k€, service life &gt; 3 years)</t>
  </si>
  <si>
    <t>AoF's Mobility Allowance changed into Mobility Aid.</t>
  </si>
  <si>
    <t>Very rarely used at CS</t>
  </si>
  <si>
    <r>
      <t xml:space="preserve">In Aalto this means that mobilty costs are covered </t>
    </r>
    <r>
      <rPr>
        <b/>
        <sz val="11"/>
        <color theme="1"/>
        <rFont val="Calibri"/>
        <family val="2"/>
        <scheme val="minor"/>
      </rPr>
      <t>as real costs</t>
    </r>
    <r>
      <rPr>
        <sz val="11"/>
        <color theme="1"/>
        <rFont val="Calibri"/>
        <family val="2"/>
        <scheme val="minor"/>
      </rPr>
      <t>.</t>
    </r>
  </si>
  <si>
    <t>These costs may be included:</t>
  </si>
  <si>
    <t>Services:</t>
  </si>
  <si>
    <t xml:space="preserve"> - flights etc.</t>
  </si>
  <si>
    <r>
      <t xml:space="preserve"> - moderate living expenses (</t>
    </r>
    <r>
      <rPr>
        <i/>
        <sz val="11"/>
        <color theme="1"/>
        <rFont val="Calibri"/>
        <family val="2"/>
        <scheme val="minor"/>
      </rPr>
      <t>examples provided on sheet Mobility</t>
    </r>
    <r>
      <rPr>
        <sz val="11"/>
        <color theme="1"/>
        <rFont val="Calibri"/>
        <family val="2"/>
        <scheme val="minor"/>
      </rPr>
      <t>)</t>
    </r>
  </si>
  <si>
    <t xml:space="preserve"> - insurance</t>
  </si>
  <si>
    <r>
      <t xml:space="preserve"> - daily allowance (&gt;1 months stays: 30%), </t>
    </r>
    <r>
      <rPr>
        <sz val="11"/>
        <color rgb="FFFF0000"/>
        <rFont val="Calibri"/>
        <family val="2"/>
        <scheme val="minor"/>
      </rPr>
      <t>Note: may be excluded if total budget is puffed up</t>
    </r>
  </si>
  <si>
    <t>Travel expenses:</t>
  </si>
  <si>
    <t xml:space="preserve"> - family travel expenses (for &gt; 12 months stays)</t>
  </si>
  <si>
    <r>
      <rPr>
        <b/>
        <i/>
        <sz val="11"/>
        <color theme="1"/>
        <rFont val="Calibri"/>
        <family val="2"/>
        <scheme val="minor"/>
      </rPr>
      <t>All budgeted under Travel expenses</t>
    </r>
    <r>
      <rPr>
        <sz val="11"/>
        <color theme="1"/>
        <rFont val="Calibri"/>
        <family val="2"/>
        <scheme val="minor"/>
      </rPr>
      <t>.</t>
    </r>
  </si>
  <si>
    <r>
      <t xml:space="preserve"> + </t>
    </r>
    <r>
      <rPr>
        <b/>
        <sz val="11"/>
        <color rgb="FFFF0000"/>
        <rFont val="Calibri"/>
        <family val="2"/>
        <scheme val="minor"/>
      </rPr>
      <t xml:space="preserve">all costs related to mobility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see blue box</t>
    </r>
    <r>
      <rPr>
        <sz val="11"/>
        <color theme="1"/>
        <rFont val="Calibri"/>
        <family val="2"/>
        <scheme val="minor"/>
      </rPr>
      <t>).</t>
    </r>
  </si>
  <si>
    <t>Note: Do not exaggerate, use moderation.</t>
  </si>
  <si>
    <t>Other costs:</t>
  </si>
  <si>
    <t>e.g. personal grants</t>
  </si>
  <si>
    <t>Grants for international guests (see Academy call text for further information)</t>
  </si>
  <si>
    <t>Open Access publication fees as direct costs.</t>
  </si>
  <si>
    <t>NOTE!: AoF is part of Plan-S coalition and no longer accepts</t>
  </si>
  <si>
    <t>per day</t>
  </si>
  <si>
    <t>Expensive</t>
  </si>
  <si>
    <t>(i.e. New York, London, San Francisco, Montreal, Milano)</t>
  </si>
  <si>
    <t>Average priced</t>
  </si>
  <si>
    <t>(i.e. Western Europe (Munich, Barcelona, Brussels), other USA)</t>
  </si>
  <si>
    <t>Low-priced</t>
  </si>
  <si>
    <t>(i.e. Eastern Europe, South America)</t>
  </si>
  <si>
    <t>Average apartment rents in 2019</t>
  </si>
  <si>
    <t>per month</t>
  </si>
  <si>
    <t>(i.e. Amsterdam, New York, London, San Francisco)</t>
  </si>
  <si>
    <t>(i.e. Western Europe, other USA)</t>
  </si>
  <si>
    <t>(i.e. Eastern Europe)</t>
  </si>
  <si>
    <t>max support:</t>
  </si>
  <si>
    <t xml:space="preserve">TOTAL BUDGET FOR THE CONSORTIUM </t>
  </si>
  <si>
    <t>ONLY FOR TOTAL EVALUATION</t>
  </si>
  <si>
    <t>EACH PARTNER WILL FILL IN THEIR OWN BUDGET TO AoF PORTAL</t>
  </si>
  <si>
    <t>AoF contr./partner:</t>
  </si>
  <si>
    <t>Principal investigator</t>
  </si>
  <si>
    <t xml:space="preserve">THIS PAGE CONTAINS BACKGROUND INFORMATION FOR BUDGETING OF INTERNATIONAL MOBILITY (&gt;1 month) AND CONFERENCE TRIPS. </t>
  </si>
  <si>
    <t>ROWS 5 TO 57 CONTAIN INFORMATION AND THERE IS BUDGETING COUNTER STARTING FROM ROW 60.</t>
  </si>
  <si>
    <t>MOBILITY:</t>
  </si>
  <si>
    <t>CONFERENCE TRIPS:</t>
  </si>
  <si>
    <t xml:space="preserve"> - conference registration</t>
  </si>
  <si>
    <t xml:space="preserve"> - moderate living expenses </t>
  </si>
  <si>
    <t xml:space="preserve"> - daily allowance </t>
  </si>
  <si>
    <t xml:space="preserve"> - airport transportation (public transportation if feasible)</t>
  </si>
  <si>
    <t>FLIGHTS:</t>
  </si>
  <si>
    <t>Use available travel sites to narrow down an average flight price (no business class)</t>
  </si>
  <si>
    <t>ACCOMMODATION:</t>
  </si>
  <si>
    <r>
      <t xml:space="preserve">Average hotel rates in </t>
    </r>
    <r>
      <rPr>
        <b/>
        <sz val="11"/>
        <color rgb="FFFF0000"/>
        <rFont val="Calibri"/>
        <family val="2"/>
        <scheme val="minor"/>
      </rPr>
      <t>2019 (outdated)</t>
    </r>
  </si>
  <si>
    <t>DAILY ALLOWANCE:</t>
  </si>
  <si>
    <r>
      <t xml:space="preserve">Full daily allowances are paid for shorter trips and </t>
    </r>
    <r>
      <rPr>
        <sz val="11"/>
        <color rgb="FFFF0000"/>
        <rFont val="Calibri"/>
        <family val="2"/>
        <scheme val="minor"/>
      </rPr>
      <t>30% allowances for &gt; 30 day trips</t>
    </r>
    <r>
      <rPr>
        <sz val="11"/>
        <color theme="1"/>
        <rFont val="Calibri"/>
        <family val="2"/>
        <scheme val="minor"/>
      </rPr>
      <t>.</t>
    </r>
  </si>
  <si>
    <t>See per diems (daily allowances) payable for business travel outside Finland per country/area (§13):</t>
  </si>
  <si>
    <t>OTHER COSTS:</t>
  </si>
  <si>
    <t>Other acceptable costs include:</t>
  </si>
  <si>
    <t>transportation to/from airport</t>
  </si>
  <si>
    <t>visa costs</t>
  </si>
  <si>
    <t>vaccinations (malaria, etc., if required)</t>
  </si>
  <si>
    <t>conference registration (appr. 200 - 900 €)</t>
  </si>
  <si>
    <t>NOT ALLOWED:</t>
  </si>
  <si>
    <t>Public transportation or other commute to/back to work/study place in location</t>
  </si>
  <si>
    <t>Family travel expenses</t>
  </si>
  <si>
    <t>Insurance</t>
  </si>
  <si>
    <t>INSURANCE (for longer stays):</t>
  </si>
  <si>
    <t>Employees</t>
  </si>
  <si>
    <t>€/day</t>
  </si>
  <si>
    <t>Spouses and children</t>
  </si>
  <si>
    <t>War risk areas</t>
  </si>
  <si>
    <t>Mobility budgeting help (fill in the yellow fields when applicable)</t>
  </si>
  <si>
    <t>Conference trip budgeting help  (fill in the yellow fields when applicable)</t>
  </si>
  <si>
    <t>Location 1:</t>
  </si>
  <si>
    <t>Amsterdam</t>
  </si>
  <si>
    <t>Conference 1:</t>
  </si>
  <si>
    <t>Travel days</t>
  </si>
  <si>
    <t>Travel months</t>
  </si>
  <si>
    <t>Flights</t>
  </si>
  <si>
    <t>Accommodation</t>
  </si>
  <si>
    <t>Daily allowance</t>
  </si>
  <si>
    <t>Taxi</t>
  </si>
  <si>
    <t>Public transportation</t>
  </si>
  <si>
    <t>Conference registration</t>
  </si>
  <si>
    <t>total</t>
  </si>
  <si>
    <t>Budget this to the correct year under "Travel expenses"</t>
  </si>
  <si>
    <t>Location 2:</t>
  </si>
  <si>
    <t>Conference 2:</t>
  </si>
  <si>
    <t>Doctoral student</t>
  </si>
  <si>
    <t>https://www.vero.fi/en/detailed-guidance/decisions/47405/tax-exempt-allowances-in-2023-for-business-travel/</t>
  </si>
  <si>
    <t>https://www.vero.fi/syventavat-vero-ohjeet/paatokset/47405/verohallinnon-paatos-verovapaista-matkakustannusten-korvauksista-vuonna-2023/</t>
  </si>
  <si>
    <t>Funding: 6,5 million euros in total (HPC special call)</t>
  </si>
  <si>
    <t>up to €500,000 for individual project</t>
  </si>
  <si>
    <t>No. of partners:</t>
  </si>
  <si>
    <t>1.1.2026</t>
  </si>
  <si>
    <t>31.12.2028</t>
  </si>
  <si>
    <t>3 years, starting from 1.1.2026</t>
  </si>
  <si>
    <t>up to €1,000,000 for a consortium, max €500,000 for a consortium member</t>
  </si>
  <si>
    <t>PhD student: a computer science PhD student. Postdoc: application domain science postdoctoral 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</si>
</sst>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164" formatCode="#,##0\ &quot;€&quot;"/>
    <numFmt numFmtId="165" formatCode="#,##0.00\ &quot;€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15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>
      <alignment vertical="center"/>
    </xf>
    <xf numFmtId="0" fontId="9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1" fontId="0" fillId="0" borderId="0" xfId="0" applyNumberFormat="1" applyProtection="1">
      <protection locked="0"/>
    </xf>
    <xf numFmtId="0" fontId="0" fillId="4" borderId="0" xfId="0" applyFill="1" applyProtection="1">
      <protection locked="0"/>
    </xf>
    <xf numFmtId="0" fontId="4" fillId="4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0" fontId="1" fillId="4" borderId="0" xfId="0" applyFont="1" applyFill="1" applyProtection="1">
      <protection locked="0"/>
    </xf>
    <xf numFmtId="0" fontId="1" fillId="4" borderId="3" xfId="0" applyFont="1" applyFill="1" applyBorder="1" applyProtection="1">
      <protection locked="0"/>
    </xf>
    <xf numFmtId="0" fontId="1" fillId="4" borderId="4" xfId="0" applyFont="1" applyFill="1" applyBorder="1" applyProtection="1">
      <protection locked="0"/>
    </xf>
    <xf numFmtId="0" fontId="1" fillId="4" borderId="13" xfId="0" applyFont="1" applyFill="1" applyBorder="1" applyProtection="1">
      <protection locked="0"/>
    </xf>
    <xf numFmtId="0" fontId="1" fillId="4" borderId="5" xfId="0" applyFont="1" applyFill="1" applyBorder="1" applyProtection="1">
      <protection locked="0"/>
    </xf>
    <xf numFmtId="0" fontId="1" fillId="4" borderId="6" xfId="0" applyFont="1" applyFill="1" applyBorder="1" applyProtection="1">
      <protection locked="0"/>
    </xf>
    <xf numFmtId="0" fontId="0" fillId="4" borderId="5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3" fillId="4" borderId="0" xfId="0" applyFont="1" applyFill="1" applyProtection="1">
      <protection locked="0"/>
    </xf>
    <xf numFmtId="0" fontId="3" fillId="4" borderId="5" xfId="0" applyFont="1" applyFill="1" applyBorder="1" applyProtection="1">
      <protection locked="0"/>
    </xf>
    <xf numFmtId="0" fontId="5" fillId="4" borderId="0" xfId="0" applyFont="1" applyFill="1" applyProtection="1">
      <protection locked="0"/>
    </xf>
    <xf numFmtId="0" fontId="4" fillId="4" borderId="6" xfId="0" applyFont="1" applyFill="1" applyBorder="1" applyProtection="1">
      <protection locked="0"/>
    </xf>
    <xf numFmtId="0" fontId="7" fillId="4" borderId="6" xfId="0" applyFont="1" applyFill="1" applyBorder="1" applyProtection="1">
      <protection locked="0"/>
    </xf>
    <xf numFmtId="0" fontId="0" fillId="4" borderId="7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7" fillId="0" borderId="0" xfId="0" applyFont="1" applyProtection="1">
      <protection locked="0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7" fillId="0" borderId="0" xfId="0" applyFont="1" applyAlignment="1" applyProtection="1">
      <alignment vertical="top" wrapText="1"/>
      <protection locked="0"/>
    </xf>
    <xf numFmtId="0" fontId="0" fillId="2" borderId="12" xfId="0" applyFill="1" applyBorder="1" applyProtection="1">
      <protection locked="0"/>
    </xf>
    <xf numFmtId="1" fontId="1" fillId="3" borderId="0" xfId="0" applyNumberFormat="1" applyFont="1" applyFill="1" applyProtection="1">
      <protection locked="0"/>
    </xf>
    <xf numFmtId="3" fontId="0" fillId="2" borderId="1" xfId="0" applyNumberFormat="1" applyFill="1" applyBorder="1" applyProtection="1">
      <protection locked="0"/>
    </xf>
    <xf numFmtId="3" fontId="0" fillId="2" borderId="1" xfId="0" applyNumberFormat="1" applyFill="1" applyBorder="1"/>
    <xf numFmtId="3" fontId="0" fillId="4" borderId="0" xfId="0" applyNumberFormat="1" applyFill="1" applyProtection="1">
      <protection locked="0"/>
    </xf>
    <xf numFmtId="3" fontId="1" fillId="4" borderId="0" xfId="0" applyNumberFormat="1" applyFont="1" applyFill="1" applyProtection="1">
      <protection locked="0"/>
    </xf>
    <xf numFmtId="3" fontId="1" fillId="2" borderId="2" xfId="0" applyNumberFormat="1" applyFont="1" applyFill="1" applyBorder="1"/>
    <xf numFmtId="0" fontId="1" fillId="5" borderId="3" xfId="0" applyFont="1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5" borderId="0" xfId="0" applyFill="1" applyProtection="1">
      <protection locked="0"/>
    </xf>
    <xf numFmtId="0" fontId="0" fillId="5" borderId="6" xfId="0" applyFill="1" applyBorder="1" applyProtection="1">
      <protection locked="0"/>
    </xf>
    <xf numFmtId="0" fontId="2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7" fillId="5" borderId="7" xfId="0" applyFont="1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13" fillId="0" borderId="0" xfId="0" applyFont="1"/>
    <xf numFmtId="42" fontId="12" fillId="0" borderId="0" xfId="0" applyNumberFormat="1" applyFont="1" applyAlignment="1">
      <alignment horizontal="center"/>
    </xf>
    <xf numFmtId="0" fontId="1" fillId="4" borderId="0" xfId="0" applyFont="1" applyFill="1" applyAlignment="1" applyProtection="1">
      <alignment vertical="top"/>
      <protection locked="0"/>
    </xf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0" fontId="0" fillId="4" borderId="0" xfId="0" applyFill="1" applyAlignment="1" applyProtection="1">
      <alignment horizontal="center" vertical="center" wrapText="1"/>
      <protection locked="0"/>
    </xf>
    <xf numFmtId="3" fontId="3" fillId="4" borderId="0" xfId="0" applyNumberFormat="1" applyFont="1" applyFill="1" applyProtection="1">
      <protection locked="0"/>
    </xf>
    <xf numFmtId="0" fontId="0" fillId="6" borderId="0" xfId="0" applyFill="1" applyProtection="1">
      <protection locked="0"/>
    </xf>
    <xf numFmtId="0" fontId="0" fillId="6" borderId="6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0" fillId="6" borderId="17" xfId="0" applyFill="1" applyBorder="1" applyProtection="1">
      <protection locked="0"/>
    </xf>
    <xf numFmtId="0" fontId="4" fillId="6" borderId="18" xfId="0" applyFont="1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4" fillId="6" borderId="20" xfId="0" applyFont="1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6" borderId="23" xfId="0" applyFill="1" applyBorder="1" applyProtection="1">
      <protection locked="0"/>
    </xf>
    <xf numFmtId="0" fontId="4" fillId="6" borderId="14" xfId="0" applyFont="1" applyFill="1" applyBorder="1" applyProtection="1">
      <protection locked="0"/>
    </xf>
    <xf numFmtId="3" fontId="0" fillId="4" borderId="1" xfId="0" applyNumberFormat="1" applyFill="1" applyBorder="1" applyProtection="1">
      <protection locked="0"/>
    </xf>
    <xf numFmtId="0" fontId="1" fillId="0" borderId="18" xfId="0" applyFont="1" applyBorder="1" applyProtection="1">
      <protection locked="0"/>
    </xf>
    <xf numFmtId="0" fontId="0" fillId="4" borderId="0" xfId="0" applyFill="1" applyAlignment="1" applyProtection="1">
      <alignment horizontal="left" vertical="top"/>
      <protection locked="0"/>
    </xf>
    <xf numFmtId="0" fontId="16" fillId="0" borderId="0" xfId="0" applyFont="1"/>
    <xf numFmtId="0" fontId="1" fillId="5" borderId="4" xfId="0" applyFont="1" applyFill="1" applyBorder="1" applyProtection="1">
      <protection locked="0"/>
    </xf>
    <xf numFmtId="0" fontId="0" fillId="0" borderId="5" xfId="0" applyBorder="1" applyProtection="1">
      <protection locked="0"/>
    </xf>
    <xf numFmtId="0" fontId="1" fillId="7" borderId="3" xfId="0" applyFont="1" applyFill="1" applyBorder="1" applyProtection="1">
      <protection locked="0"/>
    </xf>
    <xf numFmtId="0" fontId="1" fillId="7" borderId="4" xfId="0" applyFont="1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6" xfId="0" applyFill="1" applyBorder="1" applyProtection="1">
      <protection locked="0"/>
    </xf>
    <xf numFmtId="0" fontId="7" fillId="7" borderId="5" xfId="0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5" borderId="8" xfId="0" applyFont="1" applyFill="1" applyBorder="1" applyProtection="1">
      <protection locked="0"/>
    </xf>
    <xf numFmtId="0" fontId="7" fillId="7" borderId="7" xfId="0" applyFont="1" applyFill="1" applyBorder="1" applyProtection="1">
      <protection locked="0"/>
    </xf>
    <xf numFmtId="0" fontId="7" fillId="7" borderId="8" xfId="0" applyFont="1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1" fillId="5" borderId="0" xfId="0" applyFont="1" applyFill="1" applyProtection="1">
      <protection locked="0"/>
    </xf>
    <xf numFmtId="0" fontId="0" fillId="5" borderId="0" xfId="0" applyFill="1"/>
    <xf numFmtId="0" fontId="1" fillId="7" borderId="0" xfId="0" applyFont="1" applyFill="1" applyProtection="1">
      <protection locked="0"/>
    </xf>
    <xf numFmtId="0" fontId="0" fillId="7" borderId="0" xfId="0" applyFill="1"/>
    <xf numFmtId="0" fontId="1" fillId="5" borderId="0" xfId="0" applyFont="1" applyFill="1"/>
    <xf numFmtId="0" fontId="1" fillId="7" borderId="0" xfId="0" applyFont="1" applyFill="1"/>
    <xf numFmtId="0" fontId="2" fillId="0" borderId="0" xfId="0" applyFont="1" applyAlignment="1">
      <alignment vertical="center"/>
    </xf>
    <xf numFmtId="0" fontId="15" fillId="0" borderId="0" xfId="2"/>
    <xf numFmtId="0" fontId="1" fillId="4" borderId="0" xfId="0" applyFont="1" applyFill="1"/>
    <xf numFmtId="0" fontId="0" fillId="3" borderId="24" xfId="0" applyFill="1" applyBorder="1"/>
    <xf numFmtId="0" fontId="1" fillId="3" borderId="25" xfId="0" applyFont="1" applyFill="1" applyBorder="1"/>
    <xf numFmtId="0" fontId="0" fillId="4" borderId="0" xfId="0" applyFill="1"/>
    <xf numFmtId="0" fontId="2" fillId="4" borderId="0" xfId="0" applyFont="1" applyFill="1"/>
    <xf numFmtId="0" fontId="2" fillId="4" borderId="26" xfId="0" applyFont="1" applyFill="1" applyBorder="1"/>
    <xf numFmtId="0" fontId="0" fillId="3" borderId="26" xfId="0" applyFill="1" applyBorder="1"/>
    <xf numFmtId="0" fontId="0" fillId="4" borderId="4" xfId="0" applyFill="1" applyBorder="1"/>
    <xf numFmtId="3" fontId="0" fillId="3" borderId="26" xfId="0" applyNumberFormat="1" applyFill="1" applyBorder="1"/>
    <xf numFmtId="0" fontId="17" fillId="4" borderId="0" xfId="0" applyFont="1" applyFill="1"/>
    <xf numFmtId="3" fontId="0" fillId="4" borderId="27" xfId="0" applyNumberFormat="1" applyFill="1" applyBorder="1"/>
    <xf numFmtId="3" fontId="0" fillId="4" borderId="26" xfId="0" applyNumberFormat="1" applyFill="1" applyBorder="1"/>
    <xf numFmtId="3" fontId="0" fillId="3" borderId="28" xfId="0" applyNumberFormat="1" applyFill="1" applyBorder="1"/>
    <xf numFmtId="3" fontId="0" fillId="3" borderId="27" xfId="0" applyNumberFormat="1" applyFill="1" applyBorder="1"/>
    <xf numFmtId="3" fontId="0" fillId="3" borderId="29" xfId="0" applyNumberFormat="1" applyFill="1" applyBorder="1"/>
    <xf numFmtId="3" fontId="1" fillId="4" borderId="0" xfId="0" applyNumberFormat="1" applyFont="1" applyFill="1"/>
    <xf numFmtId="0" fontId="3" fillId="4" borderId="0" xfId="0" applyFont="1" applyFill="1"/>
    <xf numFmtId="49" fontId="0" fillId="4" borderId="1" xfId="0" applyNumberFormat="1" applyFill="1" applyBorder="1" applyProtection="1">
      <protection locked="0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3" fontId="1" fillId="4" borderId="2" xfId="0" applyNumberFormat="1" applyFont="1" applyFill="1" applyBorder="1"/>
    <xf numFmtId="0" fontId="6" fillId="4" borderId="0" xfId="0" applyFont="1" applyFill="1" applyProtection="1"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Protection="1">
      <protection locked="0"/>
    </xf>
    <xf numFmtId="0" fontId="0" fillId="3" borderId="1" xfId="0" applyFill="1" applyBorder="1"/>
    <xf numFmtId="0" fontId="0" fillId="4" borderId="3" xfId="0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13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4" borderId="7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4" borderId="9" xfId="0" applyFill="1" applyBorder="1" applyAlignment="1" applyProtection="1">
      <alignment horizontal="center" vertical="center" wrapText="1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ro.fi/syventavat-vero-ohjeet/paatokset/47405/verohallinnon-p%C3%A4%C3%A4t%C3%B6s-verovapaista-matkakustannusten-korvauksista-vuonna-2021/" TargetMode="External"/><Relationship Id="rId1" Type="http://schemas.openxmlformats.org/officeDocument/2006/relationships/hyperlink" Target="https://www.vero.fi/syventavat-vero-ohjeet/paatokset/47405/verohallinnon-p%C3%A4%C3%A4t%C3%B6s-verovapaista-matkakustannusten-korvauksista-vuonna-20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opLeftCell="A12" workbookViewId="0">
      <selection activeCell="K29" sqref="K29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9" width="9.1640625" style="16"/>
    <col min="10" max="10" width="9.5" style="16" bestFit="1" customWidth="1"/>
    <col min="11" max="11" width="18.33203125" style="16" customWidth="1"/>
    <col min="12" max="12" width="4.1640625" style="1" customWidth="1"/>
    <col min="13" max="13" width="8.6640625" style="1" customWidth="1"/>
    <col min="14" max="16384" width="9.1640625" style="1"/>
  </cols>
  <sheetData>
    <row r="1" spans="1:14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4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14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14" ht="16" thickBot="1" x14ac:dyDescent="0.25">
      <c r="A4" s="25"/>
      <c r="F4" s="19"/>
      <c r="H4" s="19"/>
      <c r="K4" s="26"/>
      <c r="M4" s="2"/>
    </row>
    <row r="5" spans="1:14" ht="16" thickBot="1" x14ac:dyDescent="0.25">
      <c r="A5" s="25"/>
      <c r="B5" s="16" t="s">
        <v>0</v>
      </c>
      <c r="C5" s="124" t="s">
        <v>159</v>
      </c>
      <c r="D5" s="16" t="s">
        <v>2</v>
      </c>
      <c r="F5" s="19" t="s">
        <v>161</v>
      </c>
      <c r="H5" s="19"/>
      <c r="K5" s="26"/>
    </row>
    <row r="6" spans="1:14" ht="16" thickBot="1" x14ac:dyDescent="0.25">
      <c r="A6" s="25"/>
      <c r="B6" s="16" t="s">
        <v>1</v>
      </c>
      <c r="C6" s="124" t="s">
        <v>160</v>
      </c>
      <c r="D6" s="16" t="s">
        <v>2</v>
      </c>
      <c r="K6" s="26"/>
    </row>
    <row r="7" spans="1:14" ht="16" thickBot="1" x14ac:dyDescent="0.25">
      <c r="A7" s="25"/>
      <c r="G7" s="78" t="s">
        <v>101</v>
      </c>
      <c r="H7" s="69"/>
      <c r="I7" s="69"/>
      <c r="J7" s="69"/>
      <c r="K7" s="70"/>
      <c r="L7" s="71"/>
    </row>
    <row r="8" spans="1:14" ht="16" thickBot="1" x14ac:dyDescent="0.25">
      <c r="A8" s="25"/>
      <c r="B8" s="16" t="s">
        <v>3</v>
      </c>
      <c r="C8" s="125">
        <v>100</v>
      </c>
      <c r="D8" s="16" t="s">
        <v>4</v>
      </c>
      <c r="E8" s="27" t="s">
        <v>16</v>
      </c>
      <c r="G8" s="72" t="s">
        <v>102</v>
      </c>
      <c r="H8" s="67"/>
      <c r="I8" s="67"/>
      <c r="J8" s="67"/>
      <c r="K8" s="68"/>
      <c r="L8" s="73"/>
      <c r="M8" s="80"/>
      <c r="N8" s="2"/>
    </row>
    <row r="9" spans="1:14" ht="16" thickBot="1" x14ac:dyDescent="0.25">
      <c r="A9" s="25"/>
      <c r="E9" s="27"/>
      <c r="G9" s="74" t="s">
        <v>103</v>
      </c>
      <c r="H9" s="75"/>
      <c r="I9" s="75"/>
      <c r="J9" s="75"/>
      <c r="K9" s="76"/>
      <c r="L9" s="77"/>
    </row>
    <row r="10" spans="1:14" ht="16" thickBot="1" x14ac:dyDescent="0.25">
      <c r="A10" s="25"/>
      <c r="B10" s="16" t="s">
        <v>5</v>
      </c>
      <c r="C10" s="125">
        <v>46</v>
      </c>
      <c r="D10" s="16" t="s">
        <v>4</v>
      </c>
      <c r="E10" s="27" t="s">
        <v>21</v>
      </c>
      <c r="G10" s="27"/>
      <c r="K10" s="26"/>
    </row>
    <row r="11" spans="1:14" ht="16" thickBot="1" x14ac:dyDescent="0.25">
      <c r="A11" s="25"/>
      <c r="B11" s="16" t="s">
        <v>6</v>
      </c>
      <c r="C11" s="125">
        <v>75</v>
      </c>
      <c r="D11" s="16" t="s">
        <v>4</v>
      </c>
      <c r="E11" s="27" t="s">
        <v>22</v>
      </c>
      <c r="G11" s="27"/>
      <c r="K11" s="26"/>
    </row>
    <row r="12" spans="1:14" ht="16" thickBot="1" x14ac:dyDescent="0.25">
      <c r="A12" s="25"/>
      <c r="K12" s="26"/>
    </row>
    <row r="13" spans="1:14" ht="16" thickBot="1" x14ac:dyDescent="0.25">
      <c r="A13" s="25"/>
      <c r="B13" s="16" t="s">
        <v>7</v>
      </c>
      <c r="C13" s="126" t="s">
        <v>8</v>
      </c>
      <c r="K13" s="26"/>
    </row>
    <row r="14" spans="1:14" x14ac:dyDescent="0.2">
      <c r="A14" s="25"/>
      <c r="K14" s="26"/>
      <c r="N14" s="2"/>
    </row>
    <row r="15" spans="1:14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14" ht="16" hidden="1" thickBot="1" x14ac:dyDescent="0.25">
      <c r="A16" s="28" t="s">
        <v>20</v>
      </c>
      <c r="B16" s="16" t="s">
        <v>11</v>
      </c>
      <c r="C16" s="3">
        <f>'AALTO Korpi-Lagg'!C16+'Budget (Partner 2)'!C16+'Budget (Partner 3)'!C16+'Budget (Partner 4)'!C16+'Budget (Partner 5)'!C16</f>
        <v>11</v>
      </c>
      <c r="D16" s="29" t="s">
        <v>23</v>
      </c>
      <c r="E16" s="3">
        <f>'AALTO Korpi-Lagg'!E16+'Budget (Partner 2)'!E16+'Budget (Partner 3)'!E16+'Budget (Partner 4)'!E16+'Budget (Partner 5)'!E16</f>
        <v>11</v>
      </c>
      <c r="F16" s="29" t="s">
        <v>23</v>
      </c>
      <c r="G16" s="3">
        <f>'AALTO Korpi-Lagg'!G16+'Budget (Partner 2)'!G16+'Budget (Partner 3)'!G16+'Budget (Partner 4)'!G16+'Budget (Partner 5)'!G16</f>
        <v>11</v>
      </c>
      <c r="H16" s="29" t="s">
        <v>23</v>
      </c>
      <c r="I16" s="29"/>
      <c r="J16" s="29"/>
      <c r="K16" s="30" t="s">
        <v>28</v>
      </c>
      <c r="L16" s="10"/>
      <c r="M16" s="5" t="s">
        <v>50</v>
      </c>
    </row>
    <row r="17" spans="1:13" ht="16" hidden="1" thickBot="1" x14ac:dyDescent="0.25">
      <c r="A17" s="25"/>
      <c r="B17" s="18" t="s">
        <v>15</v>
      </c>
      <c r="C17" s="41">
        <v>3800</v>
      </c>
      <c r="D17" s="29" t="s">
        <v>24</v>
      </c>
      <c r="E17" s="42">
        <f>IF(E16,ROUND(C17*1.02,0),0)</f>
        <v>3876</v>
      </c>
      <c r="F17" s="29" t="s">
        <v>24</v>
      </c>
      <c r="G17" s="42">
        <f>IF(G16,ROUND(E17*1.02,0),0)</f>
        <v>3954</v>
      </c>
      <c r="H17" s="29" t="s">
        <v>24</v>
      </c>
      <c r="I17" s="44">
        <f>ROUND(C16*C17+E16*E17+G16*G17,0)</f>
        <v>127930</v>
      </c>
      <c r="J17" s="19"/>
      <c r="K17" s="26"/>
      <c r="M17" s="5" t="s">
        <v>51</v>
      </c>
    </row>
    <row r="18" spans="1:13" ht="4.5" hidden="1" customHeight="1" thickBot="1" x14ac:dyDescent="0.25">
      <c r="A18" s="25"/>
      <c r="D18" s="29"/>
      <c r="F18" s="29"/>
      <c r="H18" s="29"/>
      <c r="I18" s="44"/>
      <c r="J18" s="19"/>
      <c r="K18" s="26"/>
    </row>
    <row r="19" spans="1:13" ht="16" hidden="1" thickBot="1" x14ac:dyDescent="0.25">
      <c r="A19" s="25"/>
      <c r="B19" s="16" t="s">
        <v>105</v>
      </c>
      <c r="C19" s="3">
        <f>'AALTO Korpi-Lagg'!C19+'Budget (Partner 2)'!C19+'Budget (Partner 3)'!C19+'Budget (Partner 4)'!C19+'Budget (Partner 5)'!C19</f>
        <v>11</v>
      </c>
      <c r="D19" s="29" t="s">
        <v>23</v>
      </c>
      <c r="E19" s="3">
        <f>'AALTO Korpi-Lagg'!E19+'Budget (Partner 2)'!E19+'Budget (Partner 3)'!E19+'Budget (Partner 4)'!E19+'Budget (Partner 5)'!E19</f>
        <v>11</v>
      </c>
      <c r="F19" s="29" t="s">
        <v>23</v>
      </c>
      <c r="G19" s="3">
        <f>'AALTO Korpi-Lagg'!G19+'Budget (Partner 2)'!G19+'Budget (Partner 3)'!G19+'Budget (Partner 4)'!G19+'Budget (Partner 5)'!G19</f>
        <v>11</v>
      </c>
      <c r="H19" s="29" t="s">
        <v>23</v>
      </c>
      <c r="I19" s="44"/>
      <c r="J19" s="19"/>
      <c r="K19" s="26"/>
    </row>
    <row r="20" spans="1:13" ht="16" hidden="1" thickBot="1" x14ac:dyDescent="0.25">
      <c r="A20" s="25"/>
      <c r="B20" s="18" t="s">
        <v>15</v>
      </c>
      <c r="C20" s="41">
        <v>3800</v>
      </c>
      <c r="D20" s="29" t="s">
        <v>24</v>
      </c>
      <c r="E20" s="42">
        <f>IF(E19,ROUND(C20*1.02,0),0)</f>
        <v>3876</v>
      </c>
      <c r="F20" s="29" t="s">
        <v>24</v>
      </c>
      <c r="G20" s="42">
        <f>IF(G19,ROUND(E20*1.02,0),0)</f>
        <v>3954</v>
      </c>
      <c r="H20" s="29" t="s">
        <v>24</v>
      </c>
      <c r="I20" s="44">
        <f>ROUND(C19*C20+E19*E20+G19*G20,0)</f>
        <v>127930</v>
      </c>
      <c r="J20" s="19"/>
      <c r="K20" s="26"/>
    </row>
    <row r="21" spans="1:13" ht="4.5" hidden="1" customHeight="1" thickBot="1" x14ac:dyDescent="0.25">
      <c r="A21" s="25"/>
      <c r="D21" s="29"/>
      <c r="F21" s="29"/>
      <c r="H21" s="29"/>
      <c r="I21" s="44"/>
      <c r="J21" s="19"/>
      <c r="K21" s="26"/>
    </row>
    <row r="22" spans="1:13" ht="16" hidden="1" thickBot="1" x14ac:dyDescent="0.25">
      <c r="A22" s="25"/>
      <c r="B22" s="16" t="s">
        <v>10</v>
      </c>
      <c r="C22" s="3">
        <f>'AALTO Korpi-Lagg'!C22+'Budget (Partner 2)'!C22+'Budget (Partner 3)'!C22+'Budget (Partner 4)'!C22+'Budget (Partner 5)'!C22</f>
        <v>0</v>
      </c>
      <c r="D22" s="29" t="s">
        <v>23</v>
      </c>
      <c r="E22" s="3">
        <f>'AALTO Korpi-Lagg'!E22+'Budget (Partner 2)'!E22+'Budget (Partner 3)'!E22+'Budget (Partner 4)'!E22+'Budget (Partner 5)'!E22</f>
        <v>0</v>
      </c>
      <c r="F22" s="29" t="s">
        <v>23</v>
      </c>
      <c r="G22" s="3">
        <f>'AALTO Korpi-Lagg'!G22+'Budget (Partner 2)'!G22+'Budget (Partner 3)'!G22+'Budget (Partner 4)'!G22+'Budget (Partner 5)'!G22</f>
        <v>0</v>
      </c>
      <c r="H22" s="29" t="s">
        <v>23</v>
      </c>
      <c r="I22" s="44"/>
      <c r="J22" s="19"/>
      <c r="K22" s="26"/>
    </row>
    <row r="23" spans="1:13" ht="16" hidden="1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</row>
    <row r="24" spans="1:13" ht="4.5" hidden="1" customHeight="1" thickBot="1" x14ac:dyDescent="0.25">
      <c r="A24" s="25"/>
      <c r="D24" s="29"/>
      <c r="F24" s="29"/>
      <c r="H24" s="29"/>
      <c r="I24" s="44"/>
      <c r="J24" s="19"/>
      <c r="K24" s="26"/>
    </row>
    <row r="25" spans="1:13" ht="16" hidden="1" thickBot="1" x14ac:dyDescent="0.25">
      <c r="A25" s="25"/>
      <c r="B25" s="16" t="s">
        <v>10</v>
      </c>
      <c r="C25" s="3">
        <f>'AALTO Korpi-Lagg'!C25+'Budget (Partner 2)'!C25+'Budget (Partner 3)'!C25+'Budget (Partner 4)'!C25+'Budget (Partner 5)'!C25</f>
        <v>0</v>
      </c>
      <c r="D25" s="29" t="s">
        <v>23</v>
      </c>
      <c r="E25" s="3">
        <f>'AALTO Korpi-Lagg'!E25+'Budget (Partner 2)'!E25+'Budget (Partner 3)'!E25+'Budget (Partner 4)'!E25+'Budget (Partner 5)'!E25</f>
        <v>0</v>
      </c>
      <c r="F25" s="29" t="s">
        <v>23</v>
      </c>
      <c r="G25" s="3">
        <f>'AALTO Korpi-Lagg'!G25+'Budget (Partner 2)'!G25+'Budget (Partner 3)'!G25+'Budget (Partner 4)'!G25+'Budget (Partner 5)'!G25</f>
        <v>0</v>
      </c>
      <c r="H25" s="29" t="s">
        <v>23</v>
      </c>
      <c r="I25" s="44"/>
      <c r="J25" s="19"/>
      <c r="K25" s="26"/>
    </row>
    <row r="26" spans="1:13" ht="16" hidden="1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3" ht="4.5" hidden="1" customHeight="1" x14ac:dyDescent="0.2">
      <c r="A27" s="25"/>
      <c r="K27" s="26"/>
    </row>
    <row r="28" spans="1:13" ht="16" hidden="1" thickBot="1" x14ac:dyDescent="0.25">
      <c r="A28" s="25"/>
      <c r="K28" s="26"/>
    </row>
    <row r="29" spans="1:13" ht="16" thickBot="1" x14ac:dyDescent="0.25">
      <c r="A29" s="25"/>
      <c r="B29" s="19" t="s">
        <v>17</v>
      </c>
      <c r="C29" s="79">
        <f>'AALTO Korpi-Lagg'!C29+'Budget (Partner 2)'!C29+'Budget (Partner 3)'!C29+'Budget (Partner 4)'!C29+'Budget (Partner 5)'!C29</f>
        <v>80850</v>
      </c>
      <c r="E29" s="79">
        <f>'AALTO Korpi-Lagg'!E29+'Budget (Partner 2)'!E29+'Budget (Partner 3)'!E29+'Budget (Partner 4)'!E29+'Budget (Partner 5)'!E29</f>
        <v>82467</v>
      </c>
      <c r="G29" s="79">
        <f>'AALTO Korpi-Lagg'!G29+'Budget (Partner 2)'!G29+'Budget (Partner 3)'!G29+'Budget (Partner 4)'!G29+'Budget (Partner 5)'!G29</f>
        <v>84117</v>
      </c>
      <c r="I29" s="44">
        <f>SUM(C29:H29)</f>
        <v>247434</v>
      </c>
      <c r="J29" s="19"/>
      <c r="K29" s="26"/>
    </row>
    <row r="30" spans="1:13" ht="16" thickBot="1" x14ac:dyDescent="0.25">
      <c r="A30" s="25"/>
      <c r="B30" s="19" t="s">
        <v>18</v>
      </c>
      <c r="C30" s="79">
        <f>'AALTO Korpi-Lagg'!C30+'Budget (Partner 2)'!C30+'Budget (Partner 3)'!C30+'Budget (Partner 4)'!C30+'Budget (Partner 5)'!C30</f>
        <v>37191</v>
      </c>
      <c r="E30" s="79">
        <f>'AALTO Korpi-Lagg'!E30+'Budget (Partner 2)'!E30+'Budget (Partner 3)'!E30+'Budget (Partner 4)'!E30+'Budget (Partner 5)'!E30</f>
        <v>37935</v>
      </c>
      <c r="G30" s="79">
        <f>'AALTO Korpi-Lagg'!G30+'Budget (Partner 2)'!G30+'Budget (Partner 3)'!G30+'Budget (Partner 4)'!G30+'Budget (Partner 5)'!G30</f>
        <v>38694</v>
      </c>
      <c r="I30" s="44">
        <f>SUM(C30:H30)</f>
        <v>113820</v>
      </c>
      <c r="J30" s="19"/>
      <c r="K30" s="26"/>
    </row>
    <row r="31" spans="1:13" ht="16" thickBot="1" x14ac:dyDescent="0.25">
      <c r="A31" s="25"/>
      <c r="B31" s="19" t="s">
        <v>19</v>
      </c>
      <c r="C31" s="79">
        <f>'AALTO Korpi-Lagg'!C31+'Budget (Partner 2)'!C31+'Budget (Partner 3)'!C31+'Budget (Partner 4)'!C31+'Budget (Partner 5)'!C31</f>
        <v>88531</v>
      </c>
      <c r="E31" s="79">
        <f>'AALTO Korpi-Lagg'!E31+'Budget (Partner 2)'!E31+'Budget (Partner 3)'!E31+'Budget (Partner 4)'!E31+'Budget (Partner 5)'!E31</f>
        <v>90302</v>
      </c>
      <c r="G31" s="79">
        <f>'AALTO Korpi-Lagg'!G31+'Budget (Partner 2)'!G31+'Budget (Partner 3)'!G31+'Budget (Partner 4)'!G31+'Budget (Partner 5)'!G31</f>
        <v>92108</v>
      </c>
      <c r="I31" s="44">
        <f>SUM(C31:H31)</f>
        <v>270941</v>
      </c>
      <c r="J31" s="19"/>
      <c r="K31" s="26"/>
    </row>
    <row r="32" spans="1:13" x14ac:dyDescent="0.2">
      <c r="A32" s="25"/>
      <c r="K32" s="26"/>
    </row>
    <row r="33" spans="1:14" x14ac:dyDescent="0.2">
      <c r="A33" s="25"/>
      <c r="K33" s="26"/>
    </row>
    <row r="34" spans="1:14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</row>
    <row r="35" spans="1:14" ht="16" thickBot="1" x14ac:dyDescent="0.25">
      <c r="A35" s="25"/>
      <c r="B35" s="16" t="s">
        <v>30</v>
      </c>
      <c r="C35" s="79">
        <f>'AALTO Korpi-Lagg'!C35+'Budget (Partner 2)'!C35+'Budget (Partner 3)'!C35+'Budget (Partner 4)'!C35+'Budget (Partner 5)'!C35</f>
        <v>0</v>
      </c>
      <c r="E35" s="79">
        <f>'AALTO Korpi-Lagg'!E35+'Budget (Partner 2)'!E35+'Budget (Partner 3)'!E35+'Budget (Partner 4)'!E35+'Budget (Partner 5)'!E35</f>
        <v>0</v>
      </c>
      <c r="G35" s="79">
        <f>'AALTO Korpi-Lagg'!G35+'Budget (Partner 2)'!G35+'Budget (Partner 3)'!G35+'Budget (Partner 4)'!G35+'Budget (Partner 5)'!G35</f>
        <v>0</v>
      </c>
      <c r="I35" s="44">
        <f t="shared" ref="I35:I40" si="0">ROUND(SUM(E35,C35,G35),0)</f>
        <v>0</v>
      </c>
      <c r="J35" s="19"/>
      <c r="K35" s="26"/>
    </row>
    <row r="36" spans="1:14" ht="16" thickBot="1" x14ac:dyDescent="0.25">
      <c r="A36" s="25"/>
      <c r="B36" s="16" t="s">
        <v>31</v>
      </c>
      <c r="C36" s="79">
        <f>'AALTO Korpi-Lagg'!C36+'Budget (Partner 2)'!C36+'Budget (Partner 3)'!C36+'Budget (Partner 4)'!C36+'Budget (Partner 5)'!C36</f>
        <v>0</v>
      </c>
      <c r="E36" s="79">
        <f>'AALTO Korpi-Lagg'!E36+'Budget (Partner 2)'!E36+'Budget (Partner 3)'!E36+'Budget (Partner 4)'!E36+'Budget (Partner 5)'!E36</f>
        <v>0</v>
      </c>
      <c r="G36" s="79">
        <f>'AALTO Korpi-Lagg'!G36+'Budget (Partner 2)'!G36+'Budget (Partner 3)'!G36+'Budget (Partner 4)'!G36+'Budget (Partner 5)'!G36</f>
        <v>0</v>
      </c>
      <c r="I36" s="44">
        <f t="shared" si="0"/>
        <v>0</v>
      </c>
      <c r="J36" s="19"/>
      <c r="K36" s="26"/>
    </row>
    <row r="37" spans="1:14" ht="16" thickBot="1" x14ac:dyDescent="0.25">
      <c r="A37" s="25"/>
      <c r="B37" s="16" t="s">
        <v>32</v>
      </c>
      <c r="C37" s="79">
        <f>'AALTO Korpi-Lagg'!C37+'Budget (Partner 2)'!C37+'Budget (Partner 3)'!C37+'Budget (Partner 4)'!C37+'Budget (Partner 5)'!C37</f>
        <v>0</v>
      </c>
      <c r="E37" s="79">
        <f>'AALTO Korpi-Lagg'!E37+'Budget (Partner 2)'!E37+'Budget (Partner 3)'!E37+'Budget (Partner 4)'!E37+'Budget (Partner 5)'!E37</f>
        <v>0</v>
      </c>
      <c r="G37" s="79">
        <f>'AALTO Korpi-Lagg'!G37+'Budget (Partner 2)'!G37+'Budget (Partner 3)'!G37+'Budget (Partner 4)'!G37+'Budget (Partner 5)'!G37</f>
        <v>0</v>
      </c>
      <c r="I37" s="44">
        <f t="shared" si="0"/>
        <v>0</v>
      </c>
      <c r="J37" s="19"/>
      <c r="K37" s="26"/>
    </row>
    <row r="38" spans="1:14" ht="16" thickBot="1" x14ac:dyDescent="0.25">
      <c r="A38" s="25"/>
      <c r="B38" s="16" t="s">
        <v>33</v>
      </c>
      <c r="C38" s="79">
        <f>'AALTO Korpi-Lagg'!C38+'Budget (Partner 2)'!C38+'Budget (Partner 3)'!C38+'Budget (Partner 4)'!C38+'Budget (Partner 5)'!C38</f>
        <v>6000</v>
      </c>
      <c r="E38" s="79">
        <f>'AALTO Korpi-Lagg'!E38+'Budget (Partner 2)'!E38+'Budget (Partner 3)'!E38+'Budget (Partner 4)'!E38+'Budget (Partner 5)'!E38</f>
        <v>6000</v>
      </c>
      <c r="G38" s="79">
        <f>'AALTO Korpi-Lagg'!G38+'Budget (Partner 2)'!G38+'Budget (Partner 3)'!G38+'Budget (Partner 4)'!G38+'Budget (Partner 5)'!G38</f>
        <v>6000</v>
      </c>
      <c r="I38" s="44">
        <f t="shared" si="0"/>
        <v>18000</v>
      </c>
      <c r="J38" s="19"/>
      <c r="K38" s="26"/>
    </row>
    <row r="39" spans="1:14" ht="16" thickBot="1" x14ac:dyDescent="0.25">
      <c r="A39" s="25"/>
      <c r="B39" s="16" t="s">
        <v>29</v>
      </c>
      <c r="C39" s="79">
        <f>'AALTO Korpi-Lagg'!C39+'Budget (Partner 2)'!C39+'Budget (Partner 3)'!C39+'Budget (Partner 4)'!C39+'Budget (Partner 5)'!C39</f>
        <v>0</v>
      </c>
      <c r="E39" s="79">
        <f>'AALTO Korpi-Lagg'!E39+'Budget (Partner 2)'!E39+'Budget (Partner 3)'!E39+'Budget (Partner 4)'!E39+'Budget (Partner 5)'!E39</f>
        <v>0</v>
      </c>
      <c r="G39" s="79">
        <f>'AALTO Korpi-Lagg'!G39+'Budget (Partner 2)'!G39+'Budget (Partner 3)'!G39+'Budget (Partner 4)'!G39+'Budget (Partner 5)'!G39</f>
        <v>0</v>
      </c>
      <c r="I39" s="44">
        <f t="shared" si="0"/>
        <v>0</v>
      </c>
      <c r="J39" s="19"/>
      <c r="K39" s="26"/>
      <c r="M39" s="35"/>
    </row>
    <row r="40" spans="1:14" x14ac:dyDescent="0.2">
      <c r="A40" s="25"/>
      <c r="B40" s="19" t="s">
        <v>34</v>
      </c>
      <c r="C40" s="43">
        <f>ROUND(SUM(C35:C39),0)</f>
        <v>6000</v>
      </c>
      <c r="E40" s="43">
        <f>ROUND(SUM(E35:E39),0)</f>
        <v>6000</v>
      </c>
      <c r="G40" s="43">
        <f>ROUND(SUM(G35:G39),0)</f>
        <v>6000</v>
      </c>
      <c r="I40" s="44">
        <f t="shared" si="0"/>
        <v>18000</v>
      </c>
      <c r="J40" s="19"/>
      <c r="K40" s="26"/>
      <c r="M40" s="35"/>
    </row>
    <row r="41" spans="1:14" x14ac:dyDescent="0.2">
      <c r="A41" s="25"/>
      <c r="K41" s="30"/>
      <c r="L41" s="10"/>
      <c r="N41" s="36"/>
    </row>
    <row r="42" spans="1:14" x14ac:dyDescent="0.2">
      <c r="A42" s="25"/>
      <c r="B42" s="19" t="s">
        <v>35</v>
      </c>
      <c r="C42" s="43">
        <f>ROUND(C29+C30+C31+C40,0)</f>
        <v>212572</v>
      </c>
      <c r="E42" s="43">
        <f>ROUND(E29+E30+E31+E40,0)</f>
        <v>216704</v>
      </c>
      <c r="G42" s="43">
        <f>ROUND(G29+G30+G31+G40,0)</f>
        <v>220919</v>
      </c>
      <c r="I42" s="44">
        <f>ROUND(SUM(E42,C42,G42),0)</f>
        <v>650195</v>
      </c>
      <c r="J42" s="19"/>
      <c r="K42" s="31"/>
      <c r="L42" s="35"/>
      <c r="M42" s="52"/>
      <c r="N42" s="53"/>
    </row>
    <row r="43" spans="1:14" x14ac:dyDescent="0.2">
      <c r="A43" s="25"/>
      <c r="B43" s="19"/>
      <c r="I43" s="19"/>
      <c r="J43" s="19"/>
      <c r="K43" s="31"/>
      <c r="L43" s="35"/>
      <c r="M43" s="53"/>
      <c r="N43" s="54"/>
    </row>
    <row r="44" spans="1:14" x14ac:dyDescent="0.2">
      <c r="A44" s="25"/>
      <c r="B44" s="19"/>
      <c r="I44" s="19"/>
      <c r="J44" s="19"/>
      <c r="K44" s="31"/>
      <c r="L44" s="35"/>
      <c r="M44" s="54"/>
      <c r="N44" s="55"/>
    </row>
    <row r="45" spans="1:14" x14ac:dyDescent="0.2">
      <c r="A45" s="25"/>
      <c r="K45" s="26"/>
      <c r="M45" s="55"/>
      <c r="N45" s="54"/>
    </row>
    <row r="46" spans="1:14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54"/>
      <c r="N46" s="60"/>
    </row>
    <row r="47" spans="1:14" x14ac:dyDescent="0.2">
      <c r="A47" s="25"/>
      <c r="B47" s="16" t="s">
        <v>37</v>
      </c>
      <c r="C47" s="127">
        <f>ROUND(C42*30%,0)</f>
        <v>63772</v>
      </c>
      <c r="E47" s="127">
        <f>ROUND(E42*30%,0)</f>
        <v>65011</v>
      </c>
      <c r="G47" s="127">
        <f>ROUND(G42*30%,0)</f>
        <v>66276</v>
      </c>
      <c r="I47" s="44">
        <f>ROUND(SUM(E47,C47,G47),0)</f>
        <v>195059</v>
      </c>
      <c r="J47" s="128" t="s">
        <v>158</v>
      </c>
      <c r="K47" s="26"/>
      <c r="M47" s="60"/>
      <c r="N47" s="36"/>
    </row>
    <row r="48" spans="1:14" hidden="1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129"/>
      <c r="K48" s="26"/>
    </row>
    <row r="49" spans="1:21" hidden="1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129"/>
      <c r="K49" s="26"/>
    </row>
    <row r="50" spans="1:21" hidden="1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129"/>
      <c r="K50" s="26"/>
    </row>
    <row r="51" spans="1:21" hidden="1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129"/>
      <c r="K51" s="26"/>
    </row>
    <row r="52" spans="1:21" hidden="1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129"/>
      <c r="K52" s="26"/>
    </row>
    <row r="53" spans="1:21" hidden="1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129"/>
      <c r="K53" s="26"/>
    </row>
    <row r="54" spans="1:21" hidden="1" x14ac:dyDescent="0.2">
      <c r="A54" s="25"/>
      <c r="B54" s="19" t="s">
        <v>44</v>
      </c>
      <c r="C54" s="43">
        <f>C47</f>
        <v>63772</v>
      </c>
      <c r="D54" s="43"/>
      <c r="E54" s="43">
        <f>E47</f>
        <v>65011</v>
      </c>
      <c r="F54" s="43"/>
      <c r="G54" s="43">
        <f>G47</f>
        <v>66276</v>
      </c>
      <c r="H54" s="43"/>
      <c r="I54" s="44">
        <f>ROUND(SUM(E54,C54,G54),0)</f>
        <v>195059</v>
      </c>
      <c r="J54" s="128"/>
      <c r="K54" s="26"/>
    </row>
    <row r="55" spans="1:21" x14ac:dyDescent="0.2">
      <c r="A55" s="25"/>
      <c r="B55" s="19" t="s">
        <v>45</v>
      </c>
      <c r="C55" s="16">
        <f>ROUND(C54*100/C42,0)</f>
        <v>30</v>
      </c>
      <c r="E55" s="16">
        <f>ROUND(E54*100/E42,0)</f>
        <v>30</v>
      </c>
      <c r="G55" s="16">
        <f>ROUND(G54*100/G42,0)</f>
        <v>30</v>
      </c>
      <c r="I55" s="16">
        <f>ROUND(I54*100/I42,0)</f>
        <v>30</v>
      </c>
      <c r="J55" s="130">
        <v>2</v>
      </c>
      <c r="K55" s="26"/>
    </row>
    <row r="56" spans="1:21" x14ac:dyDescent="0.2">
      <c r="A56" s="25"/>
      <c r="J56" s="27" t="s">
        <v>104</v>
      </c>
      <c r="K56" s="26"/>
      <c r="M56" s="13" t="s">
        <v>156</v>
      </c>
      <c r="N56" s="14"/>
      <c r="O56" s="14"/>
      <c r="P56" s="14"/>
      <c r="Q56" s="14"/>
      <c r="R56" s="14"/>
      <c r="S56" s="14"/>
      <c r="T56" s="14"/>
      <c r="U56" s="14"/>
    </row>
    <row r="57" spans="1:21" x14ac:dyDescent="0.2">
      <c r="A57" s="25"/>
      <c r="B57" s="19" t="s">
        <v>46</v>
      </c>
      <c r="C57" s="43">
        <f>C42-C54</f>
        <v>148800</v>
      </c>
      <c r="D57" s="43"/>
      <c r="E57" s="43">
        <f>E42-E54</f>
        <v>151693</v>
      </c>
      <c r="F57" s="43"/>
      <c r="G57" s="43">
        <f>G42-G54</f>
        <v>154643</v>
      </c>
      <c r="H57" s="43"/>
      <c r="I57" s="44">
        <f>ROUND(SUM(E57,C57,G57),0)</f>
        <v>455136</v>
      </c>
      <c r="J57" s="66">
        <f>I57/J55</f>
        <v>227568</v>
      </c>
      <c r="K57" s="26"/>
      <c r="M57" s="13" t="s">
        <v>157</v>
      </c>
      <c r="N57" s="14"/>
      <c r="O57" s="14"/>
      <c r="P57" s="14"/>
      <c r="Q57" s="14"/>
      <c r="R57" s="14"/>
      <c r="S57" s="14"/>
      <c r="T57" s="14"/>
      <c r="U57" s="14"/>
    </row>
    <row r="58" spans="1:21" x14ac:dyDescent="0.2">
      <c r="A58" s="25"/>
      <c r="B58" s="19" t="s">
        <v>47</v>
      </c>
      <c r="C58" s="16">
        <f>ROUND(C57*100/C42,0)</f>
        <v>70</v>
      </c>
      <c r="E58" s="16">
        <f>ROUND(E57*100/E42,0)</f>
        <v>70</v>
      </c>
      <c r="G58" s="16">
        <f>ROUND(G57*100/G42,0)</f>
        <v>70</v>
      </c>
      <c r="I58" s="16">
        <f>ROUND(I57*100/I42,0)</f>
        <v>70</v>
      </c>
      <c r="J58" s="27"/>
      <c r="K58" s="26"/>
      <c r="M58" s="13" t="s">
        <v>162</v>
      </c>
      <c r="N58" s="13"/>
      <c r="O58" s="14"/>
      <c r="P58" s="14"/>
      <c r="Q58" s="14"/>
      <c r="R58" s="14"/>
      <c r="S58" s="14"/>
      <c r="T58" s="14"/>
      <c r="U58" s="14"/>
    </row>
    <row r="59" spans="1:21" x14ac:dyDescent="0.2">
      <c r="A59" s="25"/>
      <c r="J59" s="66"/>
      <c r="K59" s="26"/>
      <c r="M59" s="13"/>
      <c r="N59" s="14"/>
      <c r="O59" s="14"/>
      <c r="P59" s="14"/>
      <c r="Q59" s="14"/>
      <c r="R59" s="14"/>
      <c r="S59" s="14"/>
      <c r="T59" s="14"/>
      <c r="U59" s="14"/>
    </row>
    <row r="60" spans="1:21" x14ac:dyDescent="0.2">
      <c r="A60" s="25"/>
      <c r="C60" s="81"/>
      <c r="D60" s="81"/>
      <c r="E60" s="81"/>
      <c r="F60" s="81"/>
      <c r="G60" s="81"/>
      <c r="H60" s="81"/>
      <c r="I60" s="81"/>
      <c r="K60" s="26"/>
      <c r="M60" s="13"/>
      <c r="N60" s="14"/>
      <c r="O60" s="14"/>
      <c r="P60" s="14"/>
      <c r="Q60" s="14"/>
      <c r="R60" s="14"/>
      <c r="S60" s="14"/>
      <c r="T60" s="14"/>
      <c r="U60" s="14"/>
    </row>
    <row r="61" spans="1:21" x14ac:dyDescent="0.2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4"/>
    </row>
  </sheetData>
  <mergeCells count="1">
    <mergeCell ref="C48:I53"/>
  </mergeCells>
  <dataValidations count="2">
    <dataValidation type="list" allowBlank="1" showInputMessage="1" showErrorMessage="1" sqref="M46" xr:uid="{CA70EB7F-D44A-4086-8D66-A353D23AF9B9}">
      <formula1>#REF!</formula1>
    </dataValidation>
    <dataValidation type="list" allowBlank="1" showInputMessage="1" showErrorMessage="1" sqref="N45" xr:uid="{12E16342-AACA-450E-AC4A-B07B510EBFB7}">
      <formula1>$O$45:$P$45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Sheet2!$B$2:$B$7</xm:f>
          </x14:formula1>
          <xm:sqref>B16 B19 B22 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711A-A324-4293-8628-257A350D71E2}">
  <dimension ref="A1:W65"/>
  <sheetViews>
    <sheetView tabSelected="1" topLeftCell="A26" workbookViewId="0">
      <selection activeCell="C60" sqref="C60:I60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6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6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6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 t="s">
        <v>162</v>
      </c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J13" s="43"/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11</v>
      </c>
      <c r="D16" s="29" t="s">
        <v>23</v>
      </c>
      <c r="E16" s="3">
        <v>11</v>
      </c>
      <c r="F16" s="29" t="s">
        <v>23</v>
      </c>
      <c r="G16" s="3">
        <v>11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7" ht="16" thickBot="1" x14ac:dyDescent="0.25">
      <c r="A17" s="25"/>
      <c r="B17" s="18" t="s">
        <v>15</v>
      </c>
      <c r="C17" s="41">
        <v>4150</v>
      </c>
      <c r="D17" s="29" t="s">
        <v>24</v>
      </c>
      <c r="E17" s="42">
        <f>IF(E16,ROUND(C17*1.02,0),0)</f>
        <v>4233</v>
      </c>
      <c r="F17" s="29" t="s">
        <v>24</v>
      </c>
      <c r="G17" s="42">
        <f>IF(G16,ROUND(E17*1.02,0),0)</f>
        <v>4318</v>
      </c>
      <c r="H17" s="29" t="s">
        <v>24</v>
      </c>
      <c r="I17" s="44">
        <f>ROUND(C16*C17+E16*E17+G16*G17,0)</f>
        <v>139711</v>
      </c>
      <c r="J17" s="19"/>
      <c r="K17" s="26"/>
      <c r="N17" s="5" t="s">
        <v>51</v>
      </c>
    </row>
    <row r="18" spans="1:17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7" ht="16" thickBot="1" x14ac:dyDescent="0.25">
      <c r="A19" s="25"/>
      <c r="B19" s="16" t="s">
        <v>10</v>
      </c>
      <c r="C19" s="3">
        <v>11</v>
      </c>
      <c r="D19" s="29" t="s">
        <v>23</v>
      </c>
      <c r="E19" s="3">
        <v>11</v>
      </c>
      <c r="F19" s="29" t="s">
        <v>23</v>
      </c>
      <c r="G19" s="3">
        <v>11</v>
      </c>
      <c r="H19" s="29" t="s">
        <v>23</v>
      </c>
      <c r="I19" s="44"/>
      <c r="J19" s="19"/>
      <c r="K19" s="26"/>
    </row>
    <row r="20" spans="1:17" ht="16" thickBot="1" x14ac:dyDescent="0.25">
      <c r="A20" s="25"/>
      <c r="B20" s="18" t="s">
        <v>15</v>
      </c>
      <c r="C20" s="41">
        <v>3200</v>
      </c>
      <c r="D20" s="29" t="s">
        <v>24</v>
      </c>
      <c r="E20" s="42">
        <f>IF(E19,ROUND(C20*1.02,0),0)</f>
        <v>3264</v>
      </c>
      <c r="F20" s="29" t="s">
        <v>24</v>
      </c>
      <c r="G20" s="42">
        <f>IF(G19,ROUND(E20*1.02,0),0)</f>
        <v>3329</v>
      </c>
      <c r="H20" s="29" t="s">
        <v>24</v>
      </c>
      <c r="I20" s="44">
        <f>ROUND(C19*C20+E19*E20+G19*G20,0)</f>
        <v>107723</v>
      </c>
      <c r="J20" s="19"/>
      <c r="K20" s="26"/>
      <c r="M20" s="2" t="s">
        <v>58</v>
      </c>
    </row>
    <row r="21" spans="1:17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7" ht="16" thickBot="1" x14ac:dyDescent="0.25">
      <c r="A22" s="25"/>
      <c r="B22" s="16" t="s">
        <v>105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  <c r="M22" s="1" t="s">
        <v>153</v>
      </c>
      <c r="P22" s="1">
        <v>3200</v>
      </c>
      <c r="Q22" s="1" t="s">
        <v>24</v>
      </c>
    </row>
    <row r="23" spans="1:17" ht="16" thickBot="1" x14ac:dyDescent="0.25">
      <c r="A23" s="25"/>
      <c r="B23" s="18" t="s">
        <v>15</v>
      </c>
      <c r="C23" s="41">
        <v>7890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M23" s="1" t="s">
        <v>54</v>
      </c>
      <c r="P23" s="15">
        <v>4150</v>
      </c>
      <c r="Q23" s="1" t="s">
        <v>24</v>
      </c>
    </row>
    <row r="24" spans="1:17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7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7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7" ht="4.5" customHeight="1" x14ac:dyDescent="0.2">
      <c r="A27" s="25"/>
      <c r="K27" s="26"/>
    </row>
    <row r="28" spans="1:17" x14ac:dyDescent="0.2">
      <c r="A28" s="25"/>
      <c r="K28" s="26"/>
    </row>
    <row r="29" spans="1:17" x14ac:dyDescent="0.2">
      <c r="A29" s="25"/>
      <c r="B29" s="19" t="s">
        <v>17</v>
      </c>
      <c r="C29" s="43">
        <f>C16*C17+C19*C20+C22*C23+C25*C26</f>
        <v>80850</v>
      </c>
      <c r="E29" s="43">
        <f>E16*E17+E19*E20+E22*E23+E25*E26</f>
        <v>82467</v>
      </c>
      <c r="G29" s="43">
        <f>G16*G17+G19*G20+G22*G23+G25*G26</f>
        <v>84117</v>
      </c>
      <c r="I29" s="44">
        <f>SUM(C29:H29)</f>
        <v>247434</v>
      </c>
      <c r="J29" s="19"/>
      <c r="K29" s="26"/>
      <c r="M29" s="2" t="s">
        <v>65</v>
      </c>
    </row>
    <row r="30" spans="1:17" x14ac:dyDescent="0.2">
      <c r="A30" s="25"/>
      <c r="B30" s="19" t="s">
        <v>18</v>
      </c>
      <c r="C30" s="43">
        <f>ROUND(C29*HSK%,0)</f>
        <v>37191</v>
      </c>
      <c r="E30" s="43">
        <f>ROUND(E29*HSK%,0)</f>
        <v>37935</v>
      </c>
      <c r="G30" s="43">
        <f>ROUND(G29*HSK%,0)</f>
        <v>38694</v>
      </c>
      <c r="I30" s="44">
        <f>SUM(C30:H30)</f>
        <v>113820</v>
      </c>
      <c r="J30" s="19"/>
      <c r="K30" s="26"/>
      <c r="M30" s="1" t="s">
        <v>55</v>
      </c>
    </row>
    <row r="31" spans="1:17" x14ac:dyDescent="0.2">
      <c r="A31" s="25"/>
      <c r="B31" s="19" t="s">
        <v>19</v>
      </c>
      <c r="C31" s="43">
        <f>ROUND((C29+C30)*YK%, 0)</f>
        <v>88531</v>
      </c>
      <c r="E31" s="43">
        <f>ROUND((E29+E30)*YK%, 0)</f>
        <v>90302</v>
      </c>
      <c r="G31" s="43">
        <f>ROUND((G29+G30)*YK%, 0)</f>
        <v>92108</v>
      </c>
      <c r="I31" s="44">
        <f>SUM(C31:H31)</f>
        <v>270941</v>
      </c>
      <c r="J31" s="19"/>
      <c r="K31" s="26"/>
      <c r="M31" s="1" t="s">
        <v>56</v>
      </c>
    </row>
    <row r="32" spans="1:17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6000</v>
      </c>
      <c r="E38" s="41">
        <v>6000</v>
      </c>
      <c r="G38" s="41">
        <v>6000</v>
      </c>
      <c r="I38" s="44">
        <f t="shared" si="0"/>
        <v>18000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6000</v>
      </c>
      <c r="E40" s="43">
        <f>ROUND(SUM(E35:E39),0)</f>
        <v>6000</v>
      </c>
      <c r="G40" s="43">
        <f>ROUND(SUM(G35:G39),0)</f>
        <v>6000</v>
      </c>
      <c r="I40" s="44">
        <f t="shared" si="0"/>
        <v>18000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212572</v>
      </c>
      <c r="E42" s="43">
        <f>ROUND(E29+E30+E31+E40,0)</f>
        <v>216704</v>
      </c>
      <c r="G42" s="43">
        <f>ROUND(G29+G30+G31+G40,0)</f>
        <v>220919</v>
      </c>
      <c r="I42" s="44">
        <f>ROUND(SUM(E42,C42,G42),0)</f>
        <v>650195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63772</v>
      </c>
      <c r="E47" s="45">
        <f>ROUND(E42*30%,0)</f>
        <v>65011</v>
      </c>
      <c r="G47" s="45">
        <f>ROUND(G42*30%,0)</f>
        <v>66276</v>
      </c>
      <c r="I47" s="44">
        <f>ROUND(SUM(E47,C47,G47),0)</f>
        <v>195059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63772</v>
      </c>
      <c r="D54" s="43"/>
      <c r="E54" s="43">
        <f>E47</f>
        <v>65011</v>
      </c>
      <c r="F54" s="43"/>
      <c r="G54" s="43">
        <f>G47</f>
        <v>66276</v>
      </c>
      <c r="H54" s="43"/>
      <c r="I54" s="44">
        <f>ROUND(SUM(E54,C54,G54),0)</f>
        <v>195059</v>
      </c>
      <c r="J54" s="19"/>
      <c r="K54" s="26"/>
      <c r="M54" s="11"/>
    </row>
    <row r="55" spans="1:13" x14ac:dyDescent="0.2">
      <c r="A55" s="25"/>
      <c r="B55" s="19" t="s">
        <v>45</v>
      </c>
      <c r="C55" s="16">
        <f>ROUND(C54*100/C42,0)</f>
        <v>30</v>
      </c>
      <c r="E55" s="16">
        <f>ROUND(E54*100/E42,0)</f>
        <v>30</v>
      </c>
      <c r="G55" s="16">
        <f>ROUND(G54*100/G42,0)</f>
        <v>30</v>
      </c>
      <c r="I55" s="16">
        <f>ROUND(I54*100/I42,0)</f>
        <v>30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148800</v>
      </c>
      <c r="D57" s="43"/>
      <c r="E57" s="43">
        <f>E42-E54</f>
        <v>151693</v>
      </c>
      <c r="F57" s="43"/>
      <c r="G57" s="43">
        <f>G42-G54</f>
        <v>154643</v>
      </c>
      <c r="H57" s="43"/>
      <c r="I57" s="44">
        <f>ROUND(SUM(E57,C57,G57),0)</f>
        <v>455136</v>
      </c>
      <c r="J57" s="66">
        <v>500000</v>
      </c>
      <c r="K57" s="26"/>
    </row>
    <row r="58" spans="1:13" x14ac:dyDescent="0.2">
      <c r="A58" s="25"/>
      <c r="B58" s="19" t="s">
        <v>47</v>
      </c>
      <c r="C58" s="16">
        <f>ROUND(C57*100/C42,0)</f>
        <v>70</v>
      </c>
      <c r="E58" s="16">
        <f>ROUND(E57*100/E42,0)</f>
        <v>70</v>
      </c>
      <c r="G58" s="16">
        <f>ROUND(G57*100/G42,0)</f>
        <v>70</v>
      </c>
      <c r="I58" s="16">
        <f>ROUND(I57*100/I42,0)</f>
        <v>70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 t="s">
        <v>163</v>
      </c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 t="s">
        <v>62</v>
      </c>
      <c r="D63" s="142"/>
      <c r="E63" s="142"/>
      <c r="F63" s="142"/>
      <c r="G63" s="142"/>
      <c r="H63" s="142"/>
      <c r="I63" s="39"/>
      <c r="J63" s="10" t="s">
        <v>64</v>
      </c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E924EA79-C9A8-4F73-B75D-C268B3C7EFA9}">
      <formula1>$X$45:$Y$45</formula1>
    </dataValidation>
    <dataValidation type="list" allowBlank="1" showInputMessage="1" showErrorMessage="1" sqref="N46" xr:uid="{BB37F5B3-B94D-4058-A471-9B1C05F69BDE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D61A53-36C7-45BD-9076-873E4E98801D}">
          <x14:formula1>
            <xm:f>Sheet2!$B$2:$B$8</xm:f>
          </x14:formula1>
          <xm:sqref>B16 B19 B22 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688F-B401-44D6-B352-09EE12EC0500}">
  <dimension ref="A1:W65"/>
  <sheetViews>
    <sheetView workbookViewId="0">
      <selection activeCell="J34" sqref="J34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 t="s">
        <v>162</v>
      </c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4150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3150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E9A6EB1F-9B46-42EE-8394-C10C27F6CBF6}">
      <formula1>$X$45:$Y$45</formula1>
    </dataValidation>
    <dataValidation type="list" allowBlank="1" showInputMessage="1" showErrorMessage="1" sqref="N46" xr:uid="{DE42D456-2AF5-4539-A3AA-FD80A2B190AD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171FDB-CCFD-4682-853B-086757E043F5}">
          <x14:formula1>
            <xm:f>Sheet2!$B$2:$B$8</xm:f>
          </x14:formula1>
          <xm:sqref>B16 B19 B22 B25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9870-7A44-4E4B-A458-D4AF3B8033DE}">
  <dimension ref="A1:W65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/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D48F6888-A175-44B9-B834-A940BA56227B}">
      <formula1>$X$45:$Y$45</formula1>
    </dataValidation>
    <dataValidation type="list" allowBlank="1" showInputMessage="1" showErrorMessage="1" sqref="N46" xr:uid="{68625F49-3C98-439E-9923-2F8427E5B57F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41910E-D196-4ED5-84C3-F32C500F83E0}">
          <x14:formula1>
            <xm:f>Sheet2!$B$2:$B$8</xm:f>
          </x14:formula1>
          <xm:sqref>B16 B19 B22 B25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C1FC-E4C7-45BC-B2E9-1B499D4C89BF}">
  <dimension ref="A1:W65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/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363C56C8-67C9-4FF2-A963-AEC77AE6CEF1}">
      <formula1>$X$45:$Y$45</formula1>
    </dataValidation>
    <dataValidation type="list" allowBlank="1" showInputMessage="1" showErrorMessage="1" sqref="N46" xr:uid="{0C089825-CAAC-4EB8-BD0D-0393C6278504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AADBA9-58B2-4442-BB9A-B85395BF3970}">
          <x14:formula1>
            <xm:f>Sheet2!$B$2:$B$8</xm:f>
          </x14:formula1>
          <xm:sqref>B16 B19 B22 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5564-65F5-48C6-A637-659A3CD5A1A7}">
  <dimension ref="A1:W65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/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8F1D74CA-5235-4D58-8AE0-F5F7F8628D35}">
      <formula1>$X$45:$Y$45</formula1>
    </dataValidation>
    <dataValidation type="list" allowBlank="1" showInputMessage="1" showErrorMessage="1" sqref="N46" xr:uid="{134897F9-1A41-4AB1-BDE2-2D2E1D25A6C9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1FD24A-5DB9-4040-91D1-1DD0A0B30826}">
          <x14:formula1>
            <xm:f>Sheet2!$B$2:$B$8</xm:f>
          </x14:formula1>
          <xm:sqref>B16 B19 B22 B25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topLeftCell="A3" workbookViewId="0">
      <selection activeCell="A35" sqref="A35:XFD41"/>
    </sheetView>
  </sheetViews>
  <sheetFormatPr baseColWidth="10" defaultColWidth="8.83203125" defaultRowHeight="15" x14ac:dyDescent="0.2"/>
  <cols>
    <col min="1" max="1" width="18.5" customWidth="1"/>
    <col min="2" max="2" width="11.1640625" customWidth="1"/>
    <col min="3" max="3" width="6.1640625" customWidth="1"/>
    <col min="4" max="4" width="10.5" customWidth="1"/>
    <col min="5" max="5" width="53.33203125" customWidth="1"/>
    <col min="6" max="6" width="1.6640625" customWidth="1"/>
    <col min="7" max="7" width="18.5" customWidth="1"/>
    <col min="8" max="8" width="11.1640625" customWidth="1"/>
    <col min="9" max="9" width="6.1640625" customWidth="1"/>
    <col min="10" max="10" width="10.5" customWidth="1"/>
    <col min="11" max="11" width="53.1640625" customWidth="1"/>
  </cols>
  <sheetData>
    <row r="1" spans="1:11" ht="19" x14ac:dyDescent="0.25">
      <c r="A1" s="82" t="s">
        <v>106</v>
      </c>
    </row>
    <row r="2" spans="1:11" ht="19" x14ac:dyDescent="0.25">
      <c r="A2" s="82" t="s">
        <v>107</v>
      </c>
    </row>
    <row r="5" spans="1:11" x14ac:dyDescent="0.2">
      <c r="A5" s="46" t="s">
        <v>108</v>
      </c>
      <c r="B5" s="83"/>
      <c r="C5" s="83"/>
      <c r="D5" s="47"/>
      <c r="E5" s="47"/>
      <c r="F5" s="84"/>
      <c r="G5" s="85" t="s">
        <v>109</v>
      </c>
      <c r="H5" s="86"/>
      <c r="I5" s="87"/>
      <c r="J5" s="87"/>
      <c r="K5" s="88"/>
    </row>
    <row r="6" spans="1:11" x14ac:dyDescent="0.2">
      <c r="A6" s="49" t="s">
        <v>69</v>
      </c>
      <c r="B6" s="50"/>
      <c r="C6" s="50"/>
      <c r="D6" s="50"/>
      <c r="E6" s="50"/>
      <c r="F6" s="84"/>
      <c r="G6" s="89" t="s">
        <v>72</v>
      </c>
      <c r="H6" s="90"/>
      <c r="I6" s="90"/>
      <c r="J6" s="90"/>
      <c r="K6" s="91"/>
    </row>
    <row r="7" spans="1:11" x14ac:dyDescent="0.2">
      <c r="A7" s="49" t="s">
        <v>71</v>
      </c>
      <c r="B7" s="50"/>
      <c r="C7" s="50"/>
      <c r="D7" s="50"/>
      <c r="E7" s="50"/>
      <c r="F7" s="84"/>
      <c r="G7" s="89" t="s">
        <v>110</v>
      </c>
      <c r="H7" s="90"/>
      <c r="I7" s="90"/>
      <c r="J7" s="90"/>
      <c r="K7" s="91"/>
    </row>
    <row r="8" spans="1:11" x14ac:dyDescent="0.2">
      <c r="A8" s="49" t="s">
        <v>72</v>
      </c>
      <c r="B8" s="50"/>
      <c r="C8" s="50"/>
      <c r="D8" s="50"/>
      <c r="E8" s="50"/>
      <c r="F8" s="84"/>
      <c r="G8" s="89" t="s">
        <v>74</v>
      </c>
      <c r="H8" s="90"/>
      <c r="I8" s="90"/>
      <c r="J8" s="90"/>
      <c r="K8" s="91"/>
    </row>
    <row r="9" spans="1:11" x14ac:dyDescent="0.2">
      <c r="A9" s="49" t="s">
        <v>74</v>
      </c>
      <c r="B9" s="50"/>
      <c r="C9" s="50"/>
      <c r="D9" s="50"/>
      <c r="E9" s="50"/>
      <c r="F9" s="84"/>
      <c r="G9" s="89" t="s">
        <v>111</v>
      </c>
      <c r="H9" s="90"/>
      <c r="I9" s="90"/>
      <c r="J9" s="90"/>
      <c r="K9" s="91"/>
    </row>
    <row r="10" spans="1:11" x14ac:dyDescent="0.2">
      <c r="A10" s="49" t="s">
        <v>111</v>
      </c>
      <c r="B10" s="50"/>
      <c r="C10" s="50"/>
      <c r="D10" s="50"/>
      <c r="E10" s="50"/>
      <c r="F10" s="84"/>
      <c r="G10" s="89" t="s">
        <v>112</v>
      </c>
      <c r="H10" s="90"/>
      <c r="I10" s="90"/>
      <c r="J10" s="90"/>
      <c r="K10" s="91"/>
    </row>
    <row r="11" spans="1:11" x14ac:dyDescent="0.2">
      <c r="A11" s="49" t="s">
        <v>76</v>
      </c>
      <c r="B11" s="50"/>
      <c r="C11" s="50"/>
      <c r="D11" s="50"/>
      <c r="E11" s="50"/>
      <c r="F11" s="84"/>
      <c r="G11" s="89" t="s">
        <v>113</v>
      </c>
      <c r="H11" s="90"/>
      <c r="I11" s="90"/>
      <c r="J11" s="90"/>
      <c r="K11" s="91"/>
    </row>
    <row r="12" spans="1:11" x14ac:dyDescent="0.2">
      <c r="A12" s="49" t="s">
        <v>77</v>
      </c>
      <c r="B12" s="50"/>
      <c r="C12" s="50"/>
      <c r="D12" s="50"/>
      <c r="E12" s="50"/>
      <c r="F12" s="84"/>
      <c r="G12" s="89" t="s">
        <v>80</v>
      </c>
      <c r="H12" s="90"/>
      <c r="I12" s="90"/>
      <c r="J12" s="90"/>
      <c r="K12" s="91"/>
    </row>
    <row r="13" spans="1:11" x14ac:dyDescent="0.2">
      <c r="A13" s="49" t="s">
        <v>79</v>
      </c>
      <c r="B13" s="50"/>
      <c r="C13" s="50"/>
      <c r="D13" s="50"/>
      <c r="E13" s="50"/>
      <c r="F13" s="84"/>
      <c r="G13" s="92"/>
      <c r="H13" s="93"/>
      <c r="I13" s="90"/>
      <c r="J13" s="90"/>
      <c r="K13" s="91"/>
    </row>
    <row r="14" spans="1:11" x14ac:dyDescent="0.2">
      <c r="A14" s="49" t="s">
        <v>80</v>
      </c>
      <c r="B14" s="50"/>
      <c r="C14" s="50"/>
      <c r="D14" s="50"/>
      <c r="E14" s="50"/>
      <c r="F14" s="84"/>
      <c r="G14" s="89"/>
      <c r="H14" s="90"/>
      <c r="I14" s="90"/>
      <c r="J14" s="90"/>
      <c r="K14" s="91"/>
    </row>
    <row r="15" spans="1:11" x14ac:dyDescent="0.2">
      <c r="A15" s="56" t="s">
        <v>82</v>
      </c>
      <c r="B15" s="94"/>
      <c r="C15" s="94"/>
      <c r="D15" s="57"/>
      <c r="E15" s="57"/>
      <c r="F15" s="84"/>
      <c r="G15" s="95"/>
      <c r="H15" s="96"/>
      <c r="I15" s="97"/>
      <c r="J15" s="97"/>
      <c r="K15" s="98"/>
    </row>
    <row r="17" spans="1:11" x14ac:dyDescent="0.2">
      <c r="A17" s="99" t="s">
        <v>114</v>
      </c>
      <c r="B17" s="99"/>
      <c r="C17" s="99"/>
      <c r="D17" s="100"/>
      <c r="E17" s="100"/>
      <c r="G17" s="101" t="s">
        <v>114</v>
      </c>
      <c r="H17" s="101"/>
      <c r="I17" s="102"/>
      <c r="J17" s="102"/>
      <c r="K17" s="102"/>
    </row>
    <row r="18" spans="1:11" x14ac:dyDescent="0.2">
      <c r="A18" t="s">
        <v>115</v>
      </c>
      <c r="G18" t="s">
        <v>115</v>
      </c>
    </row>
    <row r="21" spans="1:11" x14ac:dyDescent="0.2">
      <c r="A21" s="103" t="s">
        <v>116</v>
      </c>
      <c r="B21" s="103"/>
      <c r="C21" s="103"/>
      <c r="D21" s="100"/>
      <c r="E21" s="100"/>
      <c r="G21" s="104" t="s">
        <v>116</v>
      </c>
      <c r="H21" s="104"/>
      <c r="I21" s="102"/>
      <c r="J21" s="102"/>
      <c r="K21" s="102"/>
    </row>
    <row r="22" spans="1:11" x14ac:dyDescent="0.2">
      <c r="A22" s="62" t="s">
        <v>117</v>
      </c>
      <c r="B22" s="62"/>
      <c r="C22" s="62"/>
      <c r="D22" s="62"/>
      <c r="E22" s="63"/>
      <c r="G22" s="62" t="s">
        <v>117</v>
      </c>
      <c r="H22" s="62"/>
      <c r="I22" s="62"/>
      <c r="J22" s="62"/>
      <c r="K22" s="63"/>
    </row>
    <row r="23" spans="1:11" x14ac:dyDescent="0.2">
      <c r="D23" s="64" t="s">
        <v>88</v>
      </c>
      <c r="J23" s="64" t="s">
        <v>88</v>
      </c>
    </row>
    <row r="24" spans="1:11" x14ac:dyDescent="0.2">
      <c r="A24" s="62" t="s">
        <v>89</v>
      </c>
      <c r="B24" s="62"/>
      <c r="C24" s="62"/>
      <c r="D24" s="64">
        <v>300</v>
      </c>
      <c r="E24" t="s">
        <v>90</v>
      </c>
      <c r="G24" s="62" t="s">
        <v>89</v>
      </c>
      <c r="H24" s="62"/>
      <c r="J24" s="64">
        <v>300</v>
      </c>
      <c r="K24" t="s">
        <v>90</v>
      </c>
    </row>
    <row r="25" spans="1:11" x14ac:dyDescent="0.2">
      <c r="A25" s="62" t="s">
        <v>91</v>
      </c>
      <c r="B25" s="62"/>
      <c r="C25" s="62"/>
      <c r="D25" s="64">
        <v>120</v>
      </c>
      <c r="E25" t="s">
        <v>92</v>
      </c>
      <c r="G25" s="62" t="s">
        <v>91</v>
      </c>
      <c r="H25" s="62"/>
      <c r="J25" s="64">
        <v>120</v>
      </c>
      <c r="K25" t="s">
        <v>92</v>
      </c>
    </row>
    <row r="26" spans="1:11" x14ac:dyDescent="0.2">
      <c r="A26" s="62" t="s">
        <v>93</v>
      </c>
      <c r="B26" s="62"/>
      <c r="C26" s="62"/>
      <c r="D26" s="64">
        <v>80</v>
      </c>
      <c r="E26" t="s">
        <v>94</v>
      </c>
      <c r="G26" s="62" t="s">
        <v>93</v>
      </c>
      <c r="H26" s="62"/>
      <c r="J26" s="64">
        <v>80</v>
      </c>
      <c r="K26" t="s">
        <v>94</v>
      </c>
    </row>
    <row r="27" spans="1:11" x14ac:dyDescent="0.2">
      <c r="D27" s="64"/>
      <c r="J27" s="64"/>
    </row>
    <row r="28" spans="1:11" x14ac:dyDescent="0.2">
      <c r="A28" s="62" t="s">
        <v>95</v>
      </c>
      <c r="B28" s="62"/>
      <c r="C28" s="62"/>
      <c r="D28" s="63"/>
      <c r="E28" s="62"/>
      <c r="G28" s="62" t="s">
        <v>95</v>
      </c>
      <c r="H28" s="62"/>
      <c r="J28" s="63"/>
      <c r="K28" s="62"/>
    </row>
    <row r="29" spans="1:11" x14ac:dyDescent="0.2">
      <c r="D29" s="64" t="s">
        <v>96</v>
      </c>
      <c r="J29" s="64" t="s">
        <v>96</v>
      </c>
    </row>
    <row r="30" spans="1:11" x14ac:dyDescent="0.2">
      <c r="A30" s="62" t="s">
        <v>89</v>
      </c>
      <c r="B30" s="62"/>
      <c r="C30" s="62"/>
      <c r="D30" s="64">
        <v>2100</v>
      </c>
      <c r="E30" t="s">
        <v>97</v>
      </c>
      <c r="G30" s="62" t="s">
        <v>89</v>
      </c>
      <c r="H30" s="62"/>
      <c r="J30" s="64">
        <v>2100</v>
      </c>
      <c r="K30" t="s">
        <v>97</v>
      </c>
    </row>
    <row r="31" spans="1:11" x14ac:dyDescent="0.2">
      <c r="A31" s="62" t="s">
        <v>91</v>
      </c>
      <c r="B31" s="62"/>
      <c r="C31" s="62"/>
      <c r="D31" s="64">
        <v>1200</v>
      </c>
      <c r="E31" t="s">
        <v>98</v>
      </c>
      <c r="G31" s="62" t="s">
        <v>91</v>
      </c>
      <c r="H31" s="62"/>
      <c r="J31" s="64">
        <v>1200</v>
      </c>
      <c r="K31" t="s">
        <v>98</v>
      </c>
    </row>
    <row r="32" spans="1:11" x14ac:dyDescent="0.2">
      <c r="A32" s="62" t="s">
        <v>93</v>
      </c>
      <c r="B32" s="62"/>
      <c r="C32" s="62"/>
      <c r="D32" s="64">
        <v>600</v>
      </c>
      <c r="E32" t="s">
        <v>99</v>
      </c>
      <c r="G32" s="62" t="s">
        <v>93</v>
      </c>
      <c r="H32" s="62"/>
      <c r="J32" s="64">
        <v>600</v>
      </c>
      <c r="K32" t="s">
        <v>99</v>
      </c>
    </row>
    <row r="33" spans="1:11" x14ac:dyDescent="0.2">
      <c r="A33" s="62"/>
      <c r="B33" s="62"/>
      <c r="C33" s="62"/>
      <c r="D33" s="64"/>
      <c r="G33" s="62"/>
      <c r="H33" s="62"/>
      <c r="I33" s="64"/>
      <c r="J33" s="64"/>
    </row>
    <row r="35" spans="1:11" x14ac:dyDescent="0.2">
      <c r="A35" s="103" t="s">
        <v>118</v>
      </c>
      <c r="B35" s="103"/>
      <c r="C35" s="103"/>
      <c r="D35" s="100"/>
      <c r="E35" s="100"/>
      <c r="G35" s="104" t="s">
        <v>118</v>
      </c>
      <c r="H35" s="104"/>
      <c r="I35" s="102"/>
      <c r="J35" s="102"/>
      <c r="K35" s="102"/>
    </row>
    <row r="36" spans="1:11" x14ac:dyDescent="0.2">
      <c r="A36" t="s">
        <v>119</v>
      </c>
      <c r="F36" s="105"/>
      <c r="G36" t="s">
        <v>119</v>
      </c>
    </row>
    <row r="38" spans="1:11" x14ac:dyDescent="0.2">
      <c r="A38" t="s">
        <v>120</v>
      </c>
      <c r="G38" t="s">
        <v>120</v>
      </c>
    </row>
    <row r="39" spans="1:11" x14ac:dyDescent="0.2">
      <c r="A39" s="106" t="s">
        <v>154</v>
      </c>
      <c r="B39" s="106"/>
      <c r="C39" s="106"/>
      <c r="G39" s="106" t="s">
        <v>154</v>
      </c>
      <c r="H39" s="106"/>
    </row>
    <row r="40" spans="1:11" x14ac:dyDescent="0.2">
      <c r="A40" s="106" t="s">
        <v>155</v>
      </c>
      <c r="B40" s="106"/>
      <c r="C40" s="106"/>
      <c r="G40" s="106" t="s">
        <v>155</v>
      </c>
      <c r="H40" s="106"/>
    </row>
    <row r="43" spans="1:11" x14ac:dyDescent="0.2">
      <c r="A43" s="103" t="s">
        <v>121</v>
      </c>
      <c r="B43" s="103"/>
      <c r="C43" s="103"/>
      <c r="D43" s="100"/>
      <c r="E43" s="100"/>
      <c r="G43" s="104" t="s">
        <v>121</v>
      </c>
      <c r="H43" s="104"/>
      <c r="I43" s="102"/>
      <c r="J43" s="102"/>
      <c r="K43" s="102"/>
    </row>
    <row r="44" spans="1:11" x14ac:dyDescent="0.2">
      <c r="A44" t="s">
        <v>122</v>
      </c>
      <c r="E44" t="s">
        <v>123</v>
      </c>
      <c r="G44" t="s">
        <v>122</v>
      </c>
      <c r="K44" t="s">
        <v>123</v>
      </c>
    </row>
    <row r="45" spans="1:11" x14ac:dyDescent="0.2">
      <c r="E45" t="s">
        <v>124</v>
      </c>
      <c r="K45" t="s">
        <v>124</v>
      </c>
    </row>
    <row r="46" spans="1:11" x14ac:dyDescent="0.2">
      <c r="E46" t="s">
        <v>125</v>
      </c>
      <c r="K46" t="s">
        <v>125</v>
      </c>
    </row>
    <row r="47" spans="1:11" x14ac:dyDescent="0.2">
      <c r="E47" t="s">
        <v>126</v>
      </c>
      <c r="K47" t="s">
        <v>126</v>
      </c>
    </row>
    <row r="49" spans="1:11" x14ac:dyDescent="0.2">
      <c r="A49" s="103" t="s">
        <v>127</v>
      </c>
      <c r="B49" s="103"/>
      <c r="C49" s="103"/>
      <c r="D49" s="100"/>
      <c r="E49" s="100"/>
      <c r="G49" s="104" t="s">
        <v>127</v>
      </c>
      <c r="H49" s="104"/>
      <c r="I49" s="102"/>
      <c r="J49" s="102"/>
      <c r="K49" s="102"/>
    </row>
    <row r="50" spans="1:11" x14ac:dyDescent="0.2">
      <c r="A50" t="s">
        <v>128</v>
      </c>
      <c r="G50" t="s">
        <v>128</v>
      </c>
    </row>
    <row r="51" spans="1:11" x14ac:dyDescent="0.2">
      <c r="G51" t="s">
        <v>129</v>
      </c>
    </row>
    <row r="52" spans="1:11" x14ac:dyDescent="0.2">
      <c r="G52" t="s">
        <v>130</v>
      </c>
    </row>
    <row r="54" spans="1:11" x14ac:dyDescent="0.2">
      <c r="A54" s="103" t="s">
        <v>131</v>
      </c>
      <c r="B54" s="103"/>
      <c r="C54" s="103"/>
      <c r="D54" s="100"/>
      <c r="E54" s="100"/>
      <c r="G54" s="62"/>
      <c r="H54" s="62"/>
    </row>
    <row r="55" spans="1:11" x14ac:dyDescent="0.2">
      <c r="A55" s="62" t="s">
        <v>132</v>
      </c>
      <c r="B55" s="62"/>
      <c r="C55" s="62"/>
      <c r="D55" s="64">
        <v>3.3639999999999999</v>
      </c>
      <c r="E55" t="s">
        <v>133</v>
      </c>
      <c r="F55" s="105"/>
      <c r="G55" s="62"/>
      <c r="H55" s="62"/>
      <c r="I55" s="64"/>
      <c r="J55" s="64"/>
    </row>
    <row r="56" spans="1:11" x14ac:dyDescent="0.2">
      <c r="A56" s="62" t="s">
        <v>134</v>
      </c>
      <c r="B56" s="62"/>
      <c r="C56" s="62"/>
      <c r="D56" s="64">
        <v>4.03</v>
      </c>
      <c r="E56" t="s">
        <v>133</v>
      </c>
      <c r="G56" s="62"/>
      <c r="H56" s="62"/>
      <c r="I56" s="64"/>
      <c r="J56" s="64"/>
    </row>
    <row r="57" spans="1:11" x14ac:dyDescent="0.2">
      <c r="A57" s="62" t="s">
        <v>135</v>
      </c>
      <c r="B57" s="62"/>
      <c r="C57" s="62"/>
      <c r="D57" s="64">
        <v>7.26</v>
      </c>
      <c r="E57" t="s">
        <v>133</v>
      </c>
      <c r="H57" s="62"/>
      <c r="I57" s="64"/>
      <c r="J57" s="64"/>
    </row>
    <row r="60" spans="1:11" x14ac:dyDescent="0.2">
      <c r="A60" s="103" t="s">
        <v>136</v>
      </c>
      <c r="B60" s="103"/>
      <c r="C60" s="103"/>
      <c r="D60" s="100"/>
      <c r="E60" s="100"/>
      <c r="G60" s="103" t="s">
        <v>137</v>
      </c>
      <c r="H60" s="103"/>
      <c r="I60" s="103"/>
      <c r="J60" s="103"/>
      <c r="K60" s="103"/>
    </row>
    <row r="61" spans="1:11" x14ac:dyDescent="0.2">
      <c r="A61" s="107" t="s">
        <v>138</v>
      </c>
      <c r="B61" s="108" t="s">
        <v>139</v>
      </c>
      <c r="C61" s="109"/>
      <c r="D61" s="110"/>
      <c r="E61" s="110"/>
      <c r="G61" s="107" t="s">
        <v>140</v>
      </c>
      <c r="H61" s="108" t="s">
        <v>139</v>
      </c>
      <c r="I61" s="109"/>
      <c r="J61" s="110"/>
      <c r="K61" s="110"/>
    </row>
    <row r="62" spans="1:11" x14ac:dyDescent="0.2">
      <c r="A62" s="111" t="s">
        <v>141</v>
      </c>
      <c r="B62" s="111"/>
      <c r="C62" s="111"/>
      <c r="D62" s="112">
        <f>D63*30</f>
        <v>30</v>
      </c>
      <c r="E62" s="111"/>
      <c r="G62" s="111" t="s">
        <v>141</v>
      </c>
      <c r="H62" s="111"/>
      <c r="I62" s="111"/>
      <c r="J62" s="113">
        <v>5</v>
      </c>
      <c r="K62" s="111"/>
    </row>
    <row r="63" spans="1:11" x14ac:dyDescent="0.2">
      <c r="A63" s="111" t="s">
        <v>142</v>
      </c>
      <c r="B63" s="110"/>
      <c r="C63" s="110"/>
      <c r="D63" s="113">
        <v>1</v>
      </c>
      <c r="E63" s="111"/>
      <c r="G63" s="111"/>
      <c r="H63" s="110"/>
      <c r="I63" s="110"/>
      <c r="J63" s="114"/>
      <c r="K63" s="111"/>
    </row>
    <row r="64" spans="1:11" x14ac:dyDescent="0.2">
      <c r="A64" s="110"/>
      <c r="B64" s="110"/>
      <c r="C64" s="110"/>
      <c r="D64" s="110"/>
      <c r="E64" s="110"/>
      <c r="G64" s="110"/>
      <c r="H64" s="110"/>
      <c r="I64" s="110"/>
      <c r="J64" s="110"/>
      <c r="K64" s="110"/>
    </row>
    <row r="65" spans="1:11" x14ac:dyDescent="0.2">
      <c r="A65" s="110" t="s">
        <v>143</v>
      </c>
      <c r="B65" s="110"/>
      <c r="C65" s="110"/>
      <c r="D65" s="115">
        <v>250</v>
      </c>
      <c r="E65" s="116"/>
      <c r="G65" s="110" t="s">
        <v>143</v>
      </c>
      <c r="H65" s="110"/>
      <c r="I65" s="110"/>
      <c r="J65" s="115">
        <v>250</v>
      </c>
      <c r="K65" s="116"/>
    </row>
    <row r="66" spans="1:11" x14ac:dyDescent="0.2">
      <c r="A66" s="110" t="s">
        <v>144</v>
      </c>
      <c r="B66" s="111" t="s">
        <v>96</v>
      </c>
      <c r="C66" s="115">
        <v>1200</v>
      </c>
      <c r="D66" s="117">
        <f>C66*D63</f>
        <v>1200</v>
      </c>
      <c r="E66" s="111"/>
      <c r="G66" s="110" t="s">
        <v>144</v>
      </c>
      <c r="H66" s="111" t="s">
        <v>88</v>
      </c>
      <c r="I66" s="115">
        <v>200</v>
      </c>
      <c r="J66" s="117">
        <f>I66*J62</f>
        <v>1000</v>
      </c>
      <c r="K66" s="111"/>
    </row>
    <row r="67" spans="1:11" x14ac:dyDescent="0.2">
      <c r="A67" s="110" t="s">
        <v>145</v>
      </c>
      <c r="B67" s="111" t="s">
        <v>88</v>
      </c>
      <c r="C67" s="115">
        <v>70</v>
      </c>
      <c r="D67" s="118">
        <f>C67*D62*30%</f>
        <v>630</v>
      </c>
      <c r="E67" s="116"/>
      <c r="G67" s="110" t="s">
        <v>145</v>
      </c>
      <c r="H67" s="111" t="s">
        <v>88</v>
      </c>
      <c r="I67" s="115">
        <v>70</v>
      </c>
      <c r="J67" s="118">
        <f>I67*J62</f>
        <v>350</v>
      </c>
      <c r="K67" s="116"/>
    </row>
    <row r="68" spans="1:11" x14ac:dyDescent="0.2">
      <c r="A68" s="110" t="s">
        <v>146</v>
      </c>
      <c r="B68" s="110"/>
      <c r="C68" s="110"/>
      <c r="D68" s="115">
        <v>100</v>
      </c>
      <c r="E68" s="116"/>
      <c r="G68" s="110" t="s">
        <v>146</v>
      </c>
      <c r="H68" s="110"/>
      <c r="I68" s="110"/>
      <c r="J68" s="115">
        <v>100</v>
      </c>
      <c r="K68" s="116"/>
    </row>
    <row r="69" spans="1:11" x14ac:dyDescent="0.2">
      <c r="A69" s="110" t="s">
        <v>147</v>
      </c>
      <c r="B69" s="110"/>
      <c r="C69" s="110"/>
      <c r="D69" s="119"/>
      <c r="E69" s="111"/>
      <c r="G69" s="110" t="s">
        <v>147</v>
      </c>
      <c r="H69" s="110"/>
      <c r="I69" s="110"/>
      <c r="J69" s="119"/>
      <c r="K69" s="111"/>
    </row>
    <row r="70" spans="1:11" x14ac:dyDescent="0.2">
      <c r="A70" s="110" t="s">
        <v>29</v>
      </c>
      <c r="B70" s="110"/>
      <c r="C70" s="110"/>
      <c r="D70" s="120"/>
      <c r="E70" s="111"/>
      <c r="G70" s="110" t="s">
        <v>29</v>
      </c>
      <c r="H70" s="110"/>
      <c r="I70" s="110"/>
      <c r="J70" s="120"/>
      <c r="K70" s="111"/>
    </row>
    <row r="71" spans="1:11" ht="16" thickBot="1" x14ac:dyDescent="0.25">
      <c r="A71" s="110" t="s">
        <v>130</v>
      </c>
      <c r="B71" s="111"/>
      <c r="C71" s="110"/>
      <c r="D71" s="121">
        <f>D62*D27</f>
        <v>0</v>
      </c>
      <c r="E71" s="116"/>
      <c r="G71" s="110" t="s">
        <v>148</v>
      </c>
      <c r="H71" s="111"/>
      <c r="I71" s="110"/>
      <c r="J71" s="121">
        <v>600</v>
      </c>
      <c r="K71" s="116"/>
    </row>
    <row r="72" spans="1:11" ht="16" thickTop="1" x14ac:dyDescent="0.2">
      <c r="A72" s="110"/>
      <c r="B72" s="110"/>
      <c r="C72" s="107" t="s">
        <v>149</v>
      </c>
      <c r="D72" s="122">
        <f>SUM(D65:D71)</f>
        <v>2180</v>
      </c>
      <c r="E72" s="123" t="s">
        <v>150</v>
      </c>
      <c r="G72" s="110"/>
      <c r="H72" s="110"/>
      <c r="I72" s="107" t="s">
        <v>149</v>
      </c>
      <c r="J72" s="122">
        <f>SUM(J65:J71)</f>
        <v>2300</v>
      </c>
      <c r="K72" s="123" t="s">
        <v>150</v>
      </c>
    </row>
    <row r="73" spans="1:11" x14ac:dyDescent="0.2">
      <c r="A73" s="110"/>
      <c r="B73" s="110"/>
      <c r="C73" s="110"/>
      <c r="D73" s="110"/>
      <c r="E73" s="110"/>
      <c r="G73" s="110"/>
      <c r="H73" s="110"/>
      <c r="I73" s="110"/>
      <c r="J73" s="110"/>
      <c r="K73" s="110"/>
    </row>
    <row r="74" spans="1:11" x14ac:dyDescent="0.2">
      <c r="A74" s="110"/>
      <c r="B74" s="110"/>
      <c r="C74" s="110"/>
      <c r="D74" s="110"/>
      <c r="E74" s="110"/>
      <c r="G74" s="110"/>
      <c r="H74" s="110"/>
      <c r="I74" s="110"/>
      <c r="J74" s="110"/>
      <c r="K74" s="110"/>
    </row>
    <row r="75" spans="1:11" x14ac:dyDescent="0.2">
      <c r="A75" s="107" t="s">
        <v>151</v>
      </c>
      <c r="B75" s="108"/>
      <c r="C75" s="109"/>
      <c r="D75" s="110"/>
      <c r="E75" s="110"/>
      <c r="G75" s="107" t="s">
        <v>152</v>
      </c>
      <c r="H75" s="108"/>
      <c r="I75" s="109"/>
      <c r="J75" s="110"/>
      <c r="K75" s="110"/>
    </row>
    <row r="76" spans="1:11" x14ac:dyDescent="0.2">
      <c r="A76" s="111" t="s">
        <v>141</v>
      </c>
      <c r="B76" s="111"/>
      <c r="C76" s="111"/>
      <c r="D76" s="112">
        <f>D77*30</f>
        <v>0</v>
      </c>
      <c r="E76" s="111"/>
      <c r="G76" s="111" t="s">
        <v>141</v>
      </c>
      <c r="H76" s="111"/>
      <c r="I76" s="111"/>
      <c r="J76" s="113"/>
      <c r="K76" s="111"/>
    </row>
    <row r="77" spans="1:11" x14ac:dyDescent="0.2">
      <c r="A77" s="111" t="s">
        <v>142</v>
      </c>
      <c r="B77" s="110"/>
      <c r="C77" s="110"/>
      <c r="D77" s="113"/>
      <c r="E77" s="111"/>
      <c r="G77" s="111"/>
      <c r="H77" s="110"/>
      <c r="I77" s="110"/>
      <c r="J77" s="114"/>
      <c r="K77" s="111"/>
    </row>
    <row r="78" spans="1:11" x14ac:dyDescent="0.2">
      <c r="A78" s="110"/>
      <c r="B78" s="110"/>
      <c r="C78" s="110"/>
      <c r="D78" s="110"/>
      <c r="E78" s="110"/>
      <c r="G78" s="110"/>
      <c r="H78" s="110"/>
      <c r="I78" s="110"/>
      <c r="J78" s="110"/>
      <c r="K78" s="110"/>
    </row>
    <row r="79" spans="1:11" x14ac:dyDescent="0.2">
      <c r="A79" s="110" t="s">
        <v>143</v>
      </c>
      <c r="B79" s="110"/>
      <c r="C79" s="110"/>
      <c r="D79" s="115"/>
      <c r="E79" s="116"/>
      <c r="G79" s="110" t="s">
        <v>143</v>
      </c>
      <c r="H79" s="110"/>
      <c r="I79" s="110"/>
      <c r="J79" s="115"/>
      <c r="K79" s="116"/>
    </row>
    <row r="80" spans="1:11" x14ac:dyDescent="0.2">
      <c r="A80" s="110" t="s">
        <v>144</v>
      </c>
      <c r="B80" s="111" t="s">
        <v>96</v>
      </c>
      <c r="C80" s="115"/>
      <c r="D80" s="117">
        <f>C80*D77</f>
        <v>0</v>
      </c>
      <c r="E80" s="111"/>
      <c r="G80" s="110" t="s">
        <v>144</v>
      </c>
      <c r="H80" s="111" t="s">
        <v>88</v>
      </c>
      <c r="I80" s="115"/>
      <c r="J80" s="117">
        <f>I80*J76</f>
        <v>0</v>
      </c>
      <c r="K80" s="111"/>
    </row>
    <row r="81" spans="1:11" x14ac:dyDescent="0.2">
      <c r="A81" s="110" t="s">
        <v>145</v>
      </c>
      <c r="B81" s="111" t="s">
        <v>88</v>
      </c>
      <c r="C81" s="115"/>
      <c r="D81" s="118">
        <f>C81*D76*30%</f>
        <v>0</v>
      </c>
      <c r="E81" s="116"/>
      <c r="G81" s="110" t="s">
        <v>145</v>
      </c>
      <c r="H81" s="111" t="s">
        <v>88</v>
      </c>
      <c r="I81" s="115"/>
      <c r="J81" s="118">
        <f>I81*J76</f>
        <v>0</v>
      </c>
      <c r="K81" s="116"/>
    </row>
    <row r="82" spans="1:11" x14ac:dyDescent="0.2">
      <c r="A82" s="110" t="s">
        <v>146</v>
      </c>
      <c r="B82" s="110"/>
      <c r="C82" s="110"/>
      <c r="D82" s="115"/>
      <c r="E82" s="116"/>
      <c r="G82" s="110" t="s">
        <v>146</v>
      </c>
      <c r="H82" s="110"/>
      <c r="I82" s="110"/>
      <c r="J82" s="115"/>
      <c r="K82" s="116"/>
    </row>
    <row r="83" spans="1:11" x14ac:dyDescent="0.2">
      <c r="A83" s="110" t="s">
        <v>147</v>
      </c>
      <c r="B83" s="110"/>
      <c r="C83" s="110"/>
      <c r="D83" s="119"/>
      <c r="E83" s="111"/>
      <c r="G83" s="110" t="s">
        <v>147</v>
      </c>
      <c r="H83" s="110"/>
      <c r="I83" s="110"/>
      <c r="J83" s="119"/>
      <c r="K83" s="111"/>
    </row>
    <row r="84" spans="1:11" x14ac:dyDescent="0.2">
      <c r="A84" s="110" t="s">
        <v>29</v>
      </c>
      <c r="B84" s="110"/>
      <c r="C84" s="110"/>
      <c r="D84" s="120"/>
      <c r="E84" s="111"/>
      <c r="G84" s="110" t="s">
        <v>29</v>
      </c>
      <c r="H84" s="110"/>
      <c r="I84" s="110"/>
      <c r="J84" s="120"/>
      <c r="K84" s="111"/>
    </row>
    <row r="85" spans="1:11" ht="16" thickBot="1" x14ac:dyDescent="0.25">
      <c r="A85" s="110" t="s">
        <v>130</v>
      </c>
      <c r="B85" s="111"/>
      <c r="C85" s="110"/>
      <c r="D85" s="121">
        <f>D76*D55</f>
        <v>0</v>
      </c>
      <c r="E85" s="116"/>
      <c r="G85" s="110" t="s">
        <v>148</v>
      </c>
      <c r="H85" s="111"/>
      <c r="I85" s="110"/>
      <c r="J85" s="121"/>
      <c r="K85" s="116"/>
    </row>
    <row r="86" spans="1:11" ht="16" thickTop="1" x14ac:dyDescent="0.2">
      <c r="A86" s="110"/>
      <c r="B86" s="110"/>
      <c r="C86" s="107" t="s">
        <v>149</v>
      </c>
      <c r="D86" s="122">
        <f>SUM(D79:D85)</f>
        <v>0</v>
      </c>
      <c r="E86" s="123" t="s">
        <v>150</v>
      </c>
      <c r="G86" s="110"/>
      <c r="H86" s="110"/>
      <c r="I86" s="107" t="s">
        <v>149</v>
      </c>
      <c r="J86" s="122">
        <f>SUM(J79:J85)</f>
        <v>0</v>
      </c>
      <c r="K86" s="123" t="s">
        <v>150</v>
      </c>
    </row>
    <row r="87" spans="1:11" x14ac:dyDescent="0.2">
      <c r="A87" s="110"/>
      <c r="B87" s="110"/>
      <c r="C87" s="110"/>
      <c r="D87" s="110"/>
      <c r="E87" s="110"/>
      <c r="G87" s="110"/>
      <c r="H87" s="110"/>
      <c r="I87" s="110"/>
      <c r="J87" s="110"/>
      <c r="K87" s="110"/>
    </row>
    <row r="88" spans="1:11" x14ac:dyDescent="0.2">
      <c r="A88" s="110"/>
      <c r="B88" s="110"/>
      <c r="C88" s="110"/>
      <c r="D88" s="110"/>
      <c r="E88" s="110"/>
      <c r="G88" s="110"/>
      <c r="H88" s="110"/>
      <c r="I88" s="110"/>
      <c r="J88" s="110"/>
      <c r="K88" s="110"/>
    </row>
  </sheetData>
  <hyperlinks>
    <hyperlink ref="A40" r:id="rId1" display="https://www.vero.fi/syventavat-vero-ohjeet/paatokset/47405/verohallinnon-p%C3%A4%C3%A4t%C3%B6s-verovapaista-matkakustannusten-korvauksista-vuonna-2021/" xr:uid="{6A8E02B4-7AB2-478A-BF05-F0345F774C62}"/>
    <hyperlink ref="G40" r:id="rId2" display="https://www.vero.fi/syventavat-vero-ohjeet/paatokset/47405/verohallinnon-p%C3%A4%C3%A4t%C3%B6s-verovapaista-matkakustannusten-korvauksista-vuonna-2021/" xr:uid="{C9DD2A58-B0F4-4922-B1D3-3CE01E41D45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7"/>
  <sheetViews>
    <sheetView workbookViewId="0">
      <selection activeCell="B8" sqref="B8"/>
    </sheetView>
  </sheetViews>
  <sheetFormatPr baseColWidth="10" defaultColWidth="8.83203125" defaultRowHeight="15" x14ac:dyDescent="0.2"/>
  <sheetData>
    <row r="2" spans="2:2" x14ac:dyDescent="0.2">
      <c r="B2" t="s">
        <v>10</v>
      </c>
    </row>
    <row r="3" spans="2:2" x14ac:dyDescent="0.2">
      <c r="B3" t="s">
        <v>11</v>
      </c>
    </row>
    <row r="4" spans="2:2" x14ac:dyDescent="0.2">
      <c r="B4" t="s">
        <v>12</v>
      </c>
    </row>
    <row r="5" spans="2:2" x14ac:dyDescent="0.2">
      <c r="B5" t="s">
        <v>13</v>
      </c>
    </row>
    <row r="6" spans="2:2" x14ac:dyDescent="0.2">
      <c r="B6" t="s">
        <v>14</v>
      </c>
    </row>
    <row r="7" spans="2:2" x14ac:dyDescent="0.2">
      <c r="B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Budget TOTAL</vt:lpstr>
      <vt:lpstr>AALTO Korpi-Lagg</vt:lpstr>
      <vt:lpstr>Budget (Partner 2)</vt:lpstr>
      <vt:lpstr>Budget (Partner 3)</vt:lpstr>
      <vt:lpstr>Budget (Partner 4)</vt:lpstr>
      <vt:lpstr>Budget (Partner 5)</vt:lpstr>
      <vt:lpstr>Mobility</vt:lpstr>
      <vt:lpstr>Sheet2</vt:lpstr>
      <vt:lpstr>'AALTO Korpi-Lagg'!HSK</vt:lpstr>
      <vt:lpstr>Personnel</vt:lpstr>
      <vt:lpstr>'AALTO Korpi-Lagg'!YK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khakala</dc:creator>
  <cp:lastModifiedBy>Korpi-Lagg Maarit</cp:lastModifiedBy>
  <dcterms:created xsi:type="dcterms:W3CDTF">2012-09-06T06:00:34Z</dcterms:created>
  <dcterms:modified xsi:type="dcterms:W3CDTF">2025-05-24T07:07:39Z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